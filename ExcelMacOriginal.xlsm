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3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ml.chartshap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6.xml" ContentType="application/vnd.openxmlformats-officedocument.drawingml.chartshapes+xml"/>
  <Override PartName="/xl/drawings/drawing7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8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f051d5a4d3f05273/Escritorio/"/>
    </mc:Choice>
  </mc:AlternateContent>
  <xr:revisionPtr revIDLastSave="34" documentId="114_{B6EDD729-71AB-4009-9F89-302675C81733}" xr6:coauthVersionLast="45" xr6:coauthVersionMax="45" xr10:uidLastSave="{38DEDC9E-5DCB-4871-8EF9-AB37EC590D06}"/>
  <bookViews>
    <workbookView xWindow="-120" yWindow="-120" windowWidth="24240" windowHeight="13140" firstSheet="1" activeTab="1" xr2:uid="{00000000-000D-0000-FFFF-FFFF00000000}"/>
  </bookViews>
  <sheets>
    <sheet name="Product Pricing" sheetId="19" state="hidden" r:id="rId1"/>
    <sheet name="Input Data" sheetId="21" r:id="rId2"/>
    <sheet name="Upgrades" sheetId="27" r:id="rId3"/>
    <sheet name="Dashboard" sheetId="26" r:id="rId4"/>
    <sheet name="Cost Elements" sheetId="17" r:id="rId5"/>
    <sheet name="Calculations" sheetId="7" r:id="rId6"/>
  </sheets>
  <definedNames>
    <definedName name="_xlnm._FilterDatabase" localSheetId="4" hidden="1">'Cost Elements'!$A$2:$C$111</definedName>
    <definedName name="_xlnm._FilterDatabase" localSheetId="0" hidden="1">'Product Pricing'!$B$4:$C$36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C11" i="7" l="1"/>
  <c r="N8" i="26"/>
  <c r="AI4" i="7" l="1"/>
  <c r="AI3" i="7"/>
  <c r="AJ4" i="7"/>
  <c r="AJ3" i="7"/>
  <c r="AK3" i="7"/>
  <c r="AL3" i="7"/>
  <c r="AC4" i="7"/>
  <c r="AC3" i="7"/>
  <c r="AC14" i="7" l="1"/>
  <c r="D3" i="7" l="1"/>
  <c r="M3" i="26" l="1"/>
  <c r="I3" i="21" l="1"/>
  <c r="AB1" i="7" l="1"/>
  <c r="V13" i="7" l="1"/>
  <c r="V20" i="7" s="1"/>
  <c r="V12" i="7"/>
  <c r="V19" i="7" s="1"/>
  <c r="U13" i="7"/>
  <c r="U20" i="7" s="1"/>
  <c r="U12" i="7"/>
  <c r="U19" i="7" s="1"/>
  <c r="T13" i="7"/>
  <c r="T20" i="7" s="1"/>
  <c r="T12" i="7"/>
  <c r="T19" i="7" s="1"/>
  <c r="S13" i="7"/>
  <c r="S20" i="7" s="1"/>
  <c r="S12" i="7"/>
  <c r="S19" i="7" s="1"/>
  <c r="R13" i="7"/>
  <c r="R20" i="7" s="1"/>
  <c r="R12" i="7"/>
  <c r="R19" i="7" s="1"/>
  <c r="Q13" i="7"/>
  <c r="Q20" i="7" s="1"/>
  <c r="Q12" i="7"/>
  <c r="Q19" i="7" s="1"/>
  <c r="P13" i="7"/>
  <c r="P20" i="7" s="1"/>
  <c r="P12" i="7"/>
  <c r="P19" i="7" s="1"/>
  <c r="O13" i="7"/>
  <c r="O20" i="7" s="1"/>
  <c r="O12" i="7"/>
  <c r="O19" i="7" s="1"/>
  <c r="N13" i="7"/>
  <c r="N20" i="7" s="1"/>
  <c r="N12" i="7"/>
  <c r="N19" i="7" s="1"/>
  <c r="M13" i="7"/>
  <c r="M20" i="7" s="1"/>
  <c r="M12" i="7"/>
  <c r="M19" i="7" s="1"/>
  <c r="L13" i="7"/>
  <c r="L20" i="7" s="1"/>
  <c r="L12" i="7"/>
  <c r="L19" i="7" s="1"/>
  <c r="L27" i="7" l="1"/>
  <c r="M27" i="7"/>
  <c r="L28" i="7"/>
  <c r="M28" i="7"/>
  <c r="AB27" i="7"/>
  <c r="AF27" i="7"/>
  <c r="AG27" i="7"/>
  <c r="AD27" i="7"/>
  <c r="AE27" i="7"/>
  <c r="AC27" i="7"/>
  <c r="AA27" i="7"/>
  <c r="Z27" i="7"/>
  <c r="X27" i="7"/>
  <c r="Y27" i="7"/>
  <c r="V27" i="7"/>
  <c r="W27" i="7"/>
  <c r="T27" i="7"/>
  <c r="U27" i="7"/>
  <c r="R27" i="7"/>
  <c r="S27" i="7"/>
  <c r="P27" i="7"/>
  <c r="Q27" i="7"/>
  <c r="N27" i="7"/>
  <c r="O27" i="7" s="1"/>
  <c r="N28" i="7"/>
  <c r="O28" i="7" s="1"/>
  <c r="AG28" i="7"/>
  <c r="AF28" i="7"/>
  <c r="R28" i="7"/>
  <c r="AD28" i="7"/>
  <c r="AE28" i="7"/>
  <c r="AB28" i="7"/>
  <c r="AC28" i="7"/>
  <c r="Z28" i="7"/>
  <c r="AA28" i="7"/>
  <c r="X28" i="7"/>
  <c r="Y28" i="7"/>
  <c r="V28" i="7"/>
  <c r="W28" i="7"/>
  <c r="U28" i="7"/>
  <c r="T28" i="7"/>
  <c r="S28" i="7"/>
  <c r="P28" i="7"/>
  <c r="Q28" i="7"/>
  <c r="G23" i="27"/>
  <c r="G39" i="27"/>
  <c r="G31" i="27"/>
  <c r="G15" i="27"/>
  <c r="G7" i="27"/>
  <c r="W129" i="7" l="1"/>
  <c r="W130" i="7"/>
  <c r="W131" i="7"/>
  <c r="W132" i="7"/>
  <c r="W133" i="7"/>
  <c r="W134" i="7"/>
  <c r="W135" i="7"/>
  <c r="W136" i="7"/>
  <c r="W137" i="7"/>
  <c r="W138" i="7"/>
  <c r="W139" i="7"/>
  <c r="W140" i="7"/>
  <c r="W141" i="7"/>
  <c r="W142" i="7"/>
  <c r="W143" i="7"/>
  <c r="W128" i="7" l="1"/>
  <c r="G3" i="21" l="1"/>
  <c r="D132" i="7" l="1"/>
  <c r="R132" i="7" l="1"/>
  <c r="H132" i="7"/>
  <c r="J132" i="7"/>
  <c r="G132" i="7"/>
  <c r="Q132" i="7"/>
  <c r="F132" i="7"/>
  <c r="N132" i="7"/>
  <c r="I132" i="7"/>
  <c r="O132" i="7"/>
  <c r="E132" i="7"/>
  <c r="M132" i="7"/>
  <c r="P132" i="7"/>
  <c r="B106" i="17"/>
  <c r="B107" i="17"/>
  <c r="B108" i="17"/>
  <c r="B109" i="17"/>
  <c r="B110" i="17"/>
  <c r="B105" i="17"/>
  <c r="D113" i="7"/>
  <c r="D143" i="7"/>
  <c r="Q5" i="7" l="1"/>
  <c r="P5" i="7"/>
  <c r="O5" i="7"/>
  <c r="N5" i="7"/>
  <c r="D139" i="7"/>
  <c r="H143" i="7"/>
  <c r="E143" i="7"/>
  <c r="D140" i="7"/>
  <c r="H140" i="7" s="1"/>
  <c r="D141" i="7"/>
  <c r="G141" i="7" s="1"/>
  <c r="D142" i="7"/>
  <c r="J142" i="7" s="1"/>
  <c r="J143" i="7"/>
  <c r="D144" i="7"/>
  <c r="I144" i="7" s="1"/>
  <c r="D145" i="7"/>
  <c r="F145" i="7" s="1"/>
  <c r="D131" i="7"/>
  <c r="D133" i="7"/>
  <c r="D134" i="7"/>
  <c r="D135" i="7"/>
  <c r="D136" i="7"/>
  <c r="D137" i="7"/>
  <c r="D138" i="7"/>
  <c r="D130" i="7"/>
  <c r="D114" i="7"/>
  <c r="D115" i="7"/>
  <c r="D116" i="7"/>
  <c r="D117" i="7"/>
  <c r="D118" i="7"/>
  <c r="D119" i="7"/>
  <c r="P137" i="7" l="1"/>
  <c r="M137" i="7"/>
  <c r="Q137" i="7"/>
  <c r="R137" i="7"/>
  <c r="I137" i="7"/>
  <c r="E137" i="7"/>
  <c r="N137" i="7"/>
  <c r="H137" i="7"/>
  <c r="F137" i="7"/>
  <c r="J137" i="7"/>
  <c r="G137" i="7"/>
  <c r="O137" i="7"/>
  <c r="N131" i="7"/>
  <c r="O131" i="7"/>
  <c r="P131" i="7"/>
  <c r="Q131" i="7"/>
  <c r="M131" i="7"/>
  <c r="H131" i="7"/>
  <c r="R131" i="7"/>
  <c r="F131" i="7"/>
  <c r="I131" i="7"/>
  <c r="E131" i="7"/>
  <c r="J131" i="7"/>
  <c r="G131" i="7"/>
  <c r="R130" i="7"/>
  <c r="J130" i="7"/>
  <c r="F130" i="7"/>
  <c r="Q130" i="7"/>
  <c r="P130" i="7"/>
  <c r="O130" i="7"/>
  <c r="I130" i="7"/>
  <c r="H130" i="7"/>
  <c r="G130" i="7"/>
  <c r="N130" i="7"/>
  <c r="M130" i="7"/>
  <c r="E130" i="7"/>
  <c r="F138" i="7"/>
  <c r="M138" i="7"/>
  <c r="I138" i="7"/>
  <c r="E138" i="7"/>
  <c r="N138" i="7"/>
  <c r="J138" i="7"/>
  <c r="G138" i="7"/>
  <c r="P138" i="7"/>
  <c r="Q138" i="7"/>
  <c r="R138" i="7"/>
  <c r="O138" i="7"/>
  <c r="H138" i="7"/>
  <c r="H133" i="7"/>
  <c r="N133" i="7"/>
  <c r="O133" i="7"/>
  <c r="F133" i="7"/>
  <c r="J133" i="7"/>
  <c r="G133" i="7"/>
  <c r="M133" i="7"/>
  <c r="P133" i="7"/>
  <c r="P6" i="7" s="1"/>
  <c r="I133" i="7"/>
  <c r="Q133" i="7"/>
  <c r="E133" i="7"/>
  <c r="R133" i="7"/>
  <c r="R136" i="7"/>
  <c r="I136" i="7"/>
  <c r="M136" i="7"/>
  <c r="O136" i="7"/>
  <c r="J136" i="7"/>
  <c r="F136" i="7"/>
  <c r="E136" i="7"/>
  <c r="H136" i="7"/>
  <c r="Q136" i="7"/>
  <c r="N136" i="7"/>
  <c r="G136" i="7"/>
  <c r="P136" i="7"/>
  <c r="O135" i="7"/>
  <c r="O6" i="7" s="1"/>
  <c r="F135" i="7"/>
  <c r="P135" i="7"/>
  <c r="G135" i="7"/>
  <c r="Q135" i="7"/>
  <c r="H135" i="7"/>
  <c r="M135" i="7"/>
  <c r="R135" i="7"/>
  <c r="J135" i="7"/>
  <c r="I135" i="7"/>
  <c r="E135" i="7"/>
  <c r="N135" i="7"/>
  <c r="P134" i="7"/>
  <c r="R134" i="7"/>
  <c r="H134" i="7"/>
  <c r="F134" i="7"/>
  <c r="Q134" i="7"/>
  <c r="J134" i="7"/>
  <c r="I134" i="7"/>
  <c r="G134" i="7"/>
  <c r="N134" i="7"/>
  <c r="N6" i="7" s="1"/>
  <c r="M134" i="7"/>
  <c r="O134" i="7"/>
  <c r="E134" i="7"/>
  <c r="Q6" i="7"/>
  <c r="H141" i="7"/>
  <c r="G145" i="7"/>
  <c r="R6" i="7"/>
  <c r="H145" i="7"/>
  <c r="I145" i="7"/>
  <c r="J145" i="7"/>
  <c r="E145" i="7"/>
  <c r="J144" i="7"/>
  <c r="G144" i="7"/>
  <c r="H144" i="7"/>
  <c r="F144" i="7"/>
  <c r="E144" i="7"/>
  <c r="F143" i="7"/>
  <c r="G143" i="7"/>
  <c r="I143" i="7"/>
  <c r="F141" i="7"/>
  <c r="G140" i="7"/>
  <c r="H142" i="7"/>
  <c r="I140" i="7"/>
  <c r="J140" i="7"/>
  <c r="F140" i="7"/>
  <c r="E141" i="7"/>
  <c r="F142" i="7"/>
  <c r="I141" i="7"/>
  <c r="E142" i="7"/>
  <c r="I142" i="7"/>
  <c r="G142" i="7"/>
  <c r="J141" i="7"/>
  <c r="E140" i="7"/>
  <c r="M7" i="7" l="1"/>
  <c r="M6" i="7"/>
  <c r="N4" i="26"/>
  <c r="M4" i="26"/>
  <c r="L4" i="26"/>
  <c r="K4" i="26"/>
  <c r="J4" i="26"/>
  <c r="I4" i="26"/>
  <c r="H4" i="26"/>
  <c r="G4" i="26"/>
  <c r="F4" i="26"/>
  <c r="E4" i="26"/>
  <c r="D4" i="26"/>
  <c r="N3" i="26"/>
  <c r="L3" i="26"/>
  <c r="K3" i="26"/>
  <c r="J3" i="26"/>
  <c r="I3" i="26"/>
  <c r="H3" i="26"/>
  <c r="G3" i="26"/>
  <c r="F3" i="26"/>
  <c r="E3" i="26"/>
  <c r="D3" i="26"/>
  <c r="AC10" i="7" l="1"/>
  <c r="AH1" i="7"/>
  <c r="AC2" i="7" l="1"/>
  <c r="AD2" i="7"/>
  <c r="AE2" i="7"/>
  <c r="AF2" i="7"/>
  <c r="AG2" i="7"/>
  <c r="AH2" i="7"/>
  <c r="AI2" i="7"/>
  <c r="AJ2" i="7"/>
  <c r="AK2" i="7"/>
  <c r="AL2" i="7"/>
  <c r="AB2" i="7"/>
  <c r="AC1" i="7"/>
  <c r="AD1" i="7"/>
  <c r="AE1" i="7"/>
  <c r="AF1" i="7"/>
  <c r="AG1" i="7"/>
  <c r="AI1" i="7"/>
  <c r="AJ1" i="7"/>
  <c r="AK1" i="7"/>
  <c r="AL1" i="7"/>
  <c r="D11" i="7" l="1"/>
  <c r="G24" i="7" l="1"/>
  <c r="R24" i="7" s="1"/>
  <c r="F23" i="7"/>
  <c r="F24" i="7"/>
  <c r="G23" i="7"/>
  <c r="E24" i="7"/>
  <c r="Q24" i="7" s="1"/>
  <c r="R23" i="7"/>
  <c r="E23" i="7"/>
  <c r="Q23" i="7" s="1"/>
  <c r="H23" i="7"/>
  <c r="I24" i="7"/>
  <c r="H24" i="7"/>
  <c r="D25" i="7"/>
  <c r="L25" i="7" s="1"/>
  <c r="D24" i="7"/>
  <c r="L24" i="7" s="1"/>
  <c r="J9" i="7"/>
  <c r="S9" i="7"/>
  <c r="M29" i="7" l="1"/>
  <c r="U24" i="7"/>
  <c r="S24" i="7"/>
  <c r="P23" i="7"/>
  <c r="N23" i="7"/>
  <c r="M23" i="7"/>
  <c r="T24" i="7"/>
  <c r="O24" i="7"/>
  <c r="U23" i="7"/>
  <c r="S23" i="7"/>
  <c r="T23" i="7"/>
  <c r="O23" i="7"/>
  <c r="P24" i="7"/>
  <c r="V24" i="7"/>
  <c r="N24" i="7"/>
  <c r="M24" i="7"/>
  <c r="R114" i="7"/>
  <c r="R115" i="7"/>
  <c r="R4" i="7" s="1"/>
  <c r="I22" i="7" s="1"/>
  <c r="R117" i="7"/>
  <c r="R119" i="7"/>
  <c r="Q114" i="7"/>
  <c r="Q115" i="7"/>
  <c r="Q117" i="7"/>
  <c r="Q119" i="7"/>
  <c r="P114" i="7"/>
  <c r="P115" i="7"/>
  <c r="P117" i="7"/>
  <c r="P119" i="7"/>
  <c r="O114" i="7"/>
  <c r="O115" i="7"/>
  <c r="O117" i="7"/>
  <c r="O4" i="7" s="1"/>
  <c r="O119" i="7"/>
  <c r="N114" i="7"/>
  <c r="N115" i="7"/>
  <c r="N117" i="7"/>
  <c r="N119" i="7"/>
  <c r="M114" i="7"/>
  <c r="M115" i="7"/>
  <c r="M117" i="7"/>
  <c r="M4" i="7" s="1"/>
  <c r="D22" i="7" s="1"/>
  <c r="L22" i="7" s="1"/>
  <c r="M119" i="7"/>
  <c r="F22" i="7" l="1"/>
  <c r="J114" i="7"/>
  <c r="J115" i="7"/>
  <c r="J117" i="7"/>
  <c r="J119" i="7"/>
  <c r="I114" i="7"/>
  <c r="I115" i="7"/>
  <c r="I117" i="7"/>
  <c r="I119" i="7"/>
  <c r="H114" i="7"/>
  <c r="H115" i="7"/>
  <c r="G4" i="7" s="1"/>
  <c r="H117" i="7"/>
  <c r="H119" i="7"/>
  <c r="G114" i="7"/>
  <c r="G115" i="7"/>
  <c r="G117" i="7"/>
  <c r="G119" i="7"/>
  <c r="F114" i="7"/>
  <c r="F115" i="7"/>
  <c r="F117" i="7"/>
  <c r="F119" i="7"/>
  <c r="E114" i="7"/>
  <c r="E115" i="7"/>
  <c r="E117" i="7"/>
  <c r="E119" i="7"/>
  <c r="D7" i="7" l="1"/>
  <c r="D18" i="7" s="1"/>
  <c r="L18" i="7" s="1"/>
  <c r="F2" i="19" l="1"/>
  <c r="G2" i="19"/>
  <c r="G3" i="19" s="1"/>
  <c r="H2" i="19"/>
  <c r="H3" i="19" s="1"/>
  <c r="I2" i="19"/>
  <c r="I3" i="19" s="1"/>
  <c r="J2" i="19"/>
  <c r="J3" i="19" s="1"/>
  <c r="K2" i="19"/>
  <c r="K3" i="19" s="1"/>
  <c r="L2" i="19"/>
  <c r="M2" i="19"/>
  <c r="M3" i="19" s="1"/>
  <c r="N2" i="19"/>
  <c r="N3" i="19" s="1"/>
  <c r="O2" i="19"/>
  <c r="O3" i="19" s="1"/>
  <c r="P2" i="19"/>
  <c r="P3" i="19" s="1"/>
  <c r="Q2" i="19"/>
  <c r="R2" i="19"/>
  <c r="S2" i="19"/>
  <c r="S3" i="19" s="1"/>
  <c r="T2" i="19"/>
  <c r="T3" i="19" s="1"/>
  <c r="U2" i="19"/>
  <c r="U3" i="19" s="1"/>
  <c r="V2" i="19"/>
  <c r="V3" i="19" s="1"/>
  <c r="W2" i="19"/>
  <c r="W3" i="19" s="1"/>
  <c r="X2" i="19"/>
  <c r="X3" i="19" s="1"/>
  <c r="Y2" i="19"/>
  <c r="Y3" i="19" s="1"/>
  <c r="Z2" i="19"/>
  <c r="Z3" i="19" s="1"/>
  <c r="E2" i="19"/>
  <c r="L3" i="19"/>
  <c r="Q3" i="19"/>
  <c r="R3" i="19"/>
  <c r="E40" i="19" l="1"/>
  <c r="F40" i="19" s="1"/>
  <c r="G40" i="19" s="1"/>
  <c r="H40" i="19" s="1"/>
  <c r="E45" i="19"/>
  <c r="F45" i="19" s="1"/>
  <c r="G45" i="19" s="1"/>
  <c r="H45" i="19" s="1"/>
  <c r="E46" i="19"/>
  <c r="F46" i="19" s="1"/>
  <c r="G46" i="19" s="1"/>
  <c r="H46" i="19" s="1"/>
  <c r="E51" i="19"/>
  <c r="F51" i="19" s="1"/>
  <c r="G51" i="19" s="1"/>
  <c r="H51" i="19" s="1"/>
  <c r="E41" i="19"/>
  <c r="F41" i="19" s="1"/>
  <c r="G41" i="19" s="1"/>
  <c r="H41" i="19" s="1"/>
  <c r="E47" i="19"/>
  <c r="F47" i="19" s="1"/>
  <c r="G47" i="19" s="1"/>
  <c r="H47" i="19" s="1"/>
  <c r="E37" i="19"/>
  <c r="F37" i="19" s="1"/>
  <c r="G37" i="19" s="1"/>
  <c r="H37" i="19" s="1"/>
  <c r="E48" i="19"/>
  <c r="F48" i="19" s="1"/>
  <c r="G48" i="19" s="1"/>
  <c r="H48" i="19" s="1"/>
  <c r="E38" i="19"/>
  <c r="F38" i="19" s="1"/>
  <c r="G38" i="19" s="1"/>
  <c r="H38" i="19" s="1"/>
  <c r="E43" i="19"/>
  <c r="F43" i="19" s="1"/>
  <c r="G43" i="19" s="1"/>
  <c r="H43" i="19" s="1"/>
  <c r="E44" i="19"/>
  <c r="F44" i="19" s="1"/>
  <c r="G44" i="19" s="1"/>
  <c r="H44" i="19" s="1"/>
  <c r="E49" i="19"/>
  <c r="F49" i="19" s="1"/>
  <c r="G49" i="19" s="1"/>
  <c r="H49" i="19" s="1"/>
  <c r="E39" i="19"/>
  <c r="F39" i="19" s="1"/>
  <c r="G39" i="19" s="1"/>
  <c r="H39" i="19" s="1"/>
  <c r="E50" i="19"/>
  <c r="F50" i="19" s="1"/>
  <c r="G50" i="19" s="1"/>
  <c r="H50" i="19" s="1"/>
  <c r="E42" i="19"/>
  <c r="F42" i="19" s="1"/>
  <c r="G42" i="19" s="1"/>
  <c r="H42" i="19" s="1"/>
  <c r="E3" i="19"/>
  <c r="E6" i="19"/>
  <c r="F6" i="19" s="1"/>
  <c r="G6" i="19" s="1"/>
  <c r="H6" i="19" s="1"/>
  <c r="E14" i="19"/>
  <c r="F14" i="19" s="1"/>
  <c r="G14" i="19" s="1"/>
  <c r="H14" i="19" s="1"/>
  <c r="E22" i="19"/>
  <c r="F22" i="19" s="1"/>
  <c r="G22" i="19" s="1"/>
  <c r="H22" i="19" s="1"/>
  <c r="E30" i="19"/>
  <c r="F30" i="19" s="1"/>
  <c r="G30" i="19" s="1"/>
  <c r="H30" i="19" s="1"/>
  <c r="E7" i="19"/>
  <c r="F7" i="19" s="1"/>
  <c r="G7" i="19" s="1"/>
  <c r="H7" i="19" s="1"/>
  <c r="E15" i="19"/>
  <c r="F15" i="19" s="1"/>
  <c r="G15" i="19" s="1"/>
  <c r="H15" i="19" s="1"/>
  <c r="E23" i="19"/>
  <c r="F23" i="19" s="1"/>
  <c r="G23" i="19" s="1"/>
  <c r="H23" i="19" s="1"/>
  <c r="E31" i="19"/>
  <c r="F31" i="19" s="1"/>
  <c r="G31" i="19" s="1"/>
  <c r="H31" i="19" s="1"/>
  <c r="E27" i="19"/>
  <c r="F27" i="19" s="1"/>
  <c r="G27" i="19" s="1"/>
  <c r="H27" i="19" s="1"/>
  <c r="E20" i="19"/>
  <c r="F20" i="19" s="1"/>
  <c r="G20" i="19" s="1"/>
  <c r="H20" i="19" s="1"/>
  <c r="E36" i="19"/>
  <c r="F36" i="19" s="1"/>
  <c r="G36" i="19" s="1"/>
  <c r="H36" i="19" s="1"/>
  <c r="E29" i="19"/>
  <c r="F29" i="19" s="1"/>
  <c r="G29" i="19" s="1"/>
  <c r="H29" i="19" s="1"/>
  <c r="E13" i="19"/>
  <c r="F13" i="19" s="1"/>
  <c r="G13" i="19" s="1"/>
  <c r="H13" i="19" s="1"/>
  <c r="E8" i="19"/>
  <c r="F8" i="19" s="1"/>
  <c r="G8" i="19" s="1"/>
  <c r="H8" i="19" s="1"/>
  <c r="E16" i="19"/>
  <c r="F16" i="19" s="1"/>
  <c r="G16" i="19" s="1"/>
  <c r="H16" i="19" s="1"/>
  <c r="E24" i="19"/>
  <c r="F24" i="19" s="1"/>
  <c r="G24" i="19" s="1"/>
  <c r="H24" i="19" s="1"/>
  <c r="E32" i="19"/>
  <c r="F32" i="19" s="1"/>
  <c r="G32" i="19" s="1"/>
  <c r="H32" i="19" s="1"/>
  <c r="E18" i="19"/>
  <c r="E34" i="19"/>
  <c r="F34" i="19" s="1"/>
  <c r="G34" i="19" s="1"/>
  <c r="H34" i="19" s="1"/>
  <c r="E11" i="19"/>
  <c r="F11" i="19" s="1"/>
  <c r="G11" i="19" s="1"/>
  <c r="H11" i="19" s="1"/>
  <c r="E35" i="19"/>
  <c r="F35" i="19" s="1"/>
  <c r="G35" i="19" s="1"/>
  <c r="H35" i="19" s="1"/>
  <c r="E5" i="19"/>
  <c r="F5" i="19" s="1"/>
  <c r="G5" i="19" s="1"/>
  <c r="H5" i="19" s="1"/>
  <c r="I5" i="19" s="1"/>
  <c r="J5" i="19" s="1"/>
  <c r="K5" i="19" s="1"/>
  <c r="L5" i="19" s="1"/>
  <c r="M5" i="19" s="1"/>
  <c r="N5" i="19" s="1"/>
  <c r="O5" i="19" s="1"/>
  <c r="P5" i="19" s="1"/>
  <c r="Q5" i="19" s="1"/>
  <c r="R5" i="19" s="1"/>
  <c r="S5" i="19" s="1"/>
  <c r="T5" i="19" s="1"/>
  <c r="U5" i="19" s="1"/>
  <c r="V5" i="19" s="1"/>
  <c r="W5" i="19" s="1"/>
  <c r="X5" i="19" s="1"/>
  <c r="Y5" i="19" s="1"/>
  <c r="Z5" i="19" s="1"/>
  <c r="E9" i="19"/>
  <c r="F9" i="19" s="1"/>
  <c r="G9" i="19" s="1"/>
  <c r="H9" i="19" s="1"/>
  <c r="E17" i="19"/>
  <c r="F17" i="19" s="1"/>
  <c r="G17" i="19" s="1"/>
  <c r="H17" i="19" s="1"/>
  <c r="E25" i="19"/>
  <c r="F25" i="19" s="1"/>
  <c r="G25" i="19" s="1"/>
  <c r="H25" i="19" s="1"/>
  <c r="E33" i="19"/>
  <c r="F33" i="19" s="1"/>
  <c r="G33" i="19" s="1"/>
  <c r="H33" i="19" s="1"/>
  <c r="E10" i="19"/>
  <c r="F10" i="19" s="1"/>
  <c r="G10" i="19" s="1"/>
  <c r="H10" i="19" s="1"/>
  <c r="E26" i="19"/>
  <c r="F26" i="19" s="1"/>
  <c r="G26" i="19" s="1"/>
  <c r="H26" i="19" s="1"/>
  <c r="E19" i="19"/>
  <c r="F19" i="19" s="1"/>
  <c r="G19" i="19" s="1"/>
  <c r="H19" i="19" s="1"/>
  <c r="E12" i="19"/>
  <c r="F12" i="19" s="1"/>
  <c r="G12" i="19" s="1"/>
  <c r="H12" i="19" s="1"/>
  <c r="E28" i="19"/>
  <c r="F28" i="19" s="1"/>
  <c r="G28" i="19" s="1"/>
  <c r="H28" i="19" s="1"/>
  <c r="E21" i="19"/>
  <c r="F21" i="19" s="1"/>
  <c r="G21" i="19" s="1"/>
  <c r="H21" i="19" s="1"/>
  <c r="F3" i="19"/>
  <c r="F18" i="19"/>
  <c r="G18" i="19" s="1"/>
  <c r="H18" i="19" s="1"/>
  <c r="D95" i="7"/>
  <c r="G95" i="7" l="1"/>
  <c r="F95" i="7"/>
  <c r="H95" i="7"/>
  <c r="I95" i="7"/>
  <c r="J95" i="7"/>
  <c r="E95" i="7"/>
  <c r="D39" i="7" l="1"/>
  <c r="D40" i="7"/>
  <c r="D41" i="7"/>
  <c r="D42" i="7"/>
  <c r="D43" i="7"/>
  <c r="D44" i="7"/>
  <c r="D45" i="7"/>
  <c r="D46" i="7"/>
  <c r="D47" i="7"/>
  <c r="D54" i="7"/>
  <c r="D55" i="7"/>
  <c r="D56" i="7"/>
  <c r="D48" i="7"/>
  <c r="D57" i="7"/>
  <c r="D58" i="7"/>
  <c r="D49" i="7"/>
  <c r="D59" i="7"/>
  <c r="D60" i="7"/>
  <c r="D50" i="7"/>
  <c r="D51" i="7"/>
  <c r="D52" i="7"/>
  <c r="D61" i="7"/>
  <c r="D62" i="7"/>
  <c r="D63" i="7"/>
  <c r="D64" i="7"/>
  <c r="D65" i="7"/>
  <c r="D66" i="7"/>
  <c r="D67" i="7"/>
  <c r="D68" i="7"/>
  <c r="D69" i="7"/>
  <c r="D70" i="7"/>
  <c r="D71" i="7"/>
  <c r="D72" i="7"/>
  <c r="D73" i="7"/>
  <c r="D74" i="7"/>
  <c r="D75" i="7"/>
  <c r="D76" i="7"/>
  <c r="D77" i="7"/>
  <c r="D78" i="7"/>
  <c r="D79" i="7"/>
  <c r="D80" i="7"/>
  <c r="D81" i="7"/>
  <c r="D82" i="7"/>
  <c r="D83" i="7"/>
  <c r="D84" i="7"/>
  <c r="D85" i="7"/>
  <c r="D86" i="7"/>
  <c r="D87" i="7"/>
  <c r="D88" i="7"/>
  <c r="D89" i="7"/>
  <c r="D90" i="7"/>
  <c r="D91" i="7"/>
  <c r="D92" i="7"/>
  <c r="D93" i="7"/>
  <c r="D94" i="7"/>
  <c r="D96" i="7"/>
  <c r="D97" i="7"/>
  <c r="D98" i="7"/>
  <c r="D99" i="7"/>
  <c r="D100" i="7"/>
  <c r="D101" i="7"/>
  <c r="D102" i="7"/>
  <c r="D103" i="7"/>
  <c r="D104" i="7"/>
  <c r="D105" i="7"/>
  <c r="D106" i="7"/>
  <c r="D107" i="7"/>
  <c r="D108" i="7"/>
  <c r="D109" i="7"/>
  <c r="D110" i="7"/>
  <c r="D111" i="7"/>
  <c r="D121" i="7"/>
  <c r="D122" i="7"/>
  <c r="D123" i="7"/>
  <c r="D124" i="7"/>
  <c r="D125" i="7"/>
  <c r="D126" i="7"/>
  <c r="D127" i="7"/>
  <c r="D128" i="7"/>
  <c r="D38" i="7"/>
  <c r="F104" i="7" l="1"/>
  <c r="J104" i="7"/>
  <c r="G104" i="7"/>
  <c r="H104" i="7"/>
  <c r="I104" i="7"/>
  <c r="F96" i="7"/>
  <c r="I96" i="7"/>
  <c r="G96" i="7"/>
  <c r="H96" i="7"/>
  <c r="J96" i="7"/>
  <c r="G87" i="7"/>
  <c r="F87" i="7"/>
  <c r="H87" i="7"/>
  <c r="I87" i="7"/>
  <c r="J87" i="7"/>
  <c r="G79" i="7"/>
  <c r="F79" i="7"/>
  <c r="H79" i="7"/>
  <c r="I79" i="7"/>
  <c r="J79" i="7"/>
  <c r="G71" i="7"/>
  <c r="F71" i="7"/>
  <c r="H71" i="7"/>
  <c r="I71" i="7"/>
  <c r="J71" i="7"/>
  <c r="G63" i="7"/>
  <c r="F63" i="7"/>
  <c r="H63" i="7"/>
  <c r="I63" i="7"/>
  <c r="J63" i="7"/>
  <c r="J94" i="7"/>
  <c r="F94" i="7"/>
  <c r="G94" i="7"/>
  <c r="I94" i="7"/>
  <c r="H94" i="7"/>
  <c r="I62" i="7"/>
  <c r="J62" i="7"/>
  <c r="G62" i="7"/>
  <c r="H62" i="7"/>
  <c r="F62" i="7"/>
  <c r="J110" i="7"/>
  <c r="F110" i="7"/>
  <c r="G110" i="7"/>
  <c r="I110" i="7"/>
  <c r="H110" i="7"/>
  <c r="G77" i="7"/>
  <c r="H77" i="7"/>
  <c r="I77" i="7"/>
  <c r="J77" i="7"/>
  <c r="F77" i="7"/>
  <c r="G101" i="7"/>
  <c r="H101" i="7"/>
  <c r="I101" i="7"/>
  <c r="J101" i="7"/>
  <c r="F101" i="7"/>
  <c r="J76" i="7"/>
  <c r="G76" i="7"/>
  <c r="I76" i="7"/>
  <c r="H76" i="7"/>
  <c r="F76" i="7"/>
  <c r="J68" i="7"/>
  <c r="I68" i="7"/>
  <c r="G68" i="7"/>
  <c r="H68" i="7"/>
  <c r="F68" i="7"/>
  <c r="G103" i="7"/>
  <c r="F103" i="7"/>
  <c r="H103" i="7"/>
  <c r="I103" i="7"/>
  <c r="J103" i="7"/>
  <c r="F70" i="7"/>
  <c r="G70" i="7"/>
  <c r="I70" i="7"/>
  <c r="H70" i="7"/>
  <c r="J70" i="7"/>
  <c r="G93" i="7"/>
  <c r="H93" i="7"/>
  <c r="I93" i="7"/>
  <c r="J93" i="7"/>
  <c r="F93" i="7"/>
  <c r="I100" i="7"/>
  <c r="J100" i="7"/>
  <c r="G100" i="7"/>
  <c r="H100" i="7"/>
  <c r="F100" i="7"/>
  <c r="G75" i="7"/>
  <c r="H75" i="7"/>
  <c r="I75" i="7"/>
  <c r="J75" i="7"/>
  <c r="F75" i="7"/>
  <c r="G67" i="7"/>
  <c r="H67" i="7"/>
  <c r="I67" i="7"/>
  <c r="J67" i="7"/>
  <c r="F67" i="7"/>
  <c r="F56" i="7"/>
  <c r="J56" i="7"/>
  <c r="G56" i="7"/>
  <c r="H56" i="7"/>
  <c r="I56" i="7"/>
  <c r="G111" i="7"/>
  <c r="F111" i="7"/>
  <c r="H111" i="7"/>
  <c r="G7" i="7" s="1"/>
  <c r="I111" i="7"/>
  <c r="H7" i="7" s="1"/>
  <c r="J111" i="7"/>
  <c r="F78" i="7"/>
  <c r="J78" i="7"/>
  <c r="I78" i="7"/>
  <c r="G78" i="7"/>
  <c r="H78" i="7"/>
  <c r="J58" i="7"/>
  <c r="F58" i="7"/>
  <c r="I58" i="7"/>
  <c r="G58" i="7"/>
  <c r="H58" i="7"/>
  <c r="G85" i="7"/>
  <c r="H85" i="7"/>
  <c r="F85" i="7"/>
  <c r="I85" i="7"/>
  <c r="J85" i="7"/>
  <c r="G57" i="7"/>
  <c r="H57" i="7"/>
  <c r="I57" i="7"/>
  <c r="F57" i="7"/>
  <c r="J57" i="7"/>
  <c r="I84" i="7"/>
  <c r="J84" i="7"/>
  <c r="G84" i="7"/>
  <c r="H84" i="7"/>
  <c r="F84" i="7"/>
  <c r="J108" i="7"/>
  <c r="I108" i="7"/>
  <c r="G108" i="7"/>
  <c r="H108" i="7"/>
  <c r="F108" i="7"/>
  <c r="G83" i="7"/>
  <c r="H83" i="7"/>
  <c r="I83" i="7"/>
  <c r="J83" i="7"/>
  <c r="F83" i="7"/>
  <c r="G107" i="7"/>
  <c r="H107" i="7"/>
  <c r="I107" i="7"/>
  <c r="J107" i="7"/>
  <c r="F107" i="7"/>
  <c r="G99" i="7"/>
  <c r="H99" i="7"/>
  <c r="I99" i="7"/>
  <c r="J99" i="7"/>
  <c r="F99" i="7"/>
  <c r="F90" i="7"/>
  <c r="G90" i="7"/>
  <c r="J90" i="7"/>
  <c r="H90" i="7"/>
  <c r="I90" i="7"/>
  <c r="J82" i="7"/>
  <c r="F82" i="7"/>
  <c r="G82" i="7"/>
  <c r="I82" i="7"/>
  <c r="H82" i="7"/>
  <c r="I74" i="7"/>
  <c r="J74" i="7"/>
  <c r="F74" i="7"/>
  <c r="G74" i="7"/>
  <c r="H74" i="7"/>
  <c r="J66" i="7"/>
  <c r="F66" i="7"/>
  <c r="G66" i="7"/>
  <c r="H66" i="7"/>
  <c r="I66" i="7"/>
  <c r="G55" i="7"/>
  <c r="F55" i="7"/>
  <c r="H55" i="7"/>
  <c r="I55" i="7"/>
  <c r="J55" i="7"/>
  <c r="J98" i="7"/>
  <c r="F98" i="7"/>
  <c r="I98" i="7"/>
  <c r="G98" i="7"/>
  <c r="H98" i="7"/>
  <c r="G89" i="7"/>
  <c r="H89" i="7"/>
  <c r="I89" i="7"/>
  <c r="F89" i="7"/>
  <c r="J89" i="7"/>
  <c r="G81" i="7"/>
  <c r="H81" i="7"/>
  <c r="I81" i="7"/>
  <c r="F81" i="7"/>
  <c r="J81" i="7"/>
  <c r="G73" i="7"/>
  <c r="H73" i="7"/>
  <c r="I73" i="7"/>
  <c r="F73" i="7"/>
  <c r="J73" i="7"/>
  <c r="G65" i="7"/>
  <c r="H65" i="7"/>
  <c r="I65" i="7"/>
  <c r="F65" i="7"/>
  <c r="J65" i="7"/>
  <c r="J60" i="7"/>
  <c r="G60" i="7"/>
  <c r="I60" i="7"/>
  <c r="H60" i="7"/>
  <c r="F60" i="7"/>
  <c r="H54" i="7"/>
  <c r="F54" i="7"/>
  <c r="G54" i="7"/>
  <c r="J54" i="7"/>
  <c r="I54" i="7"/>
  <c r="J86" i="7"/>
  <c r="I86" i="7"/>
  <c r="F86" i="7"/>
  <c r="G86" i="7"/>
  <c r="H86" i="7"/>
  <c r="J102" i="7"/>
  <c r="F102" i="7"/>
  <c r="G102" i="7"/>
  <c r="I102" i="7"/>
  <c r="H102" i="7"/>
  <c r="G69" i="7"/>
  <c r="H69" i="7"/>
  <c r="I69" i="7"/>
  <c r="F69" i="7"/>
  <c r="J69" i="7"/>
  <c r="G61" i="7"/>
  <c r="H61" i="7"/>
  <c r="I61" i="7"/>
  <c r="J61" i="7"/>
  <c r="F61" i="7"/>
  <c r="G109" i="7"/>
  <c r="H109" i="7"/>
  <c r="I109" i="7"/>
  <c r="F109" i="7"/>
  <c r="J109" i="7"/>
  <c r="J92" i="7"/>
  <c r="I92" i="7"/>
  <c r="G92" i="7"/>
  <c r="H92" i="7"/>
  <c r="F92" i="7"/>
  <c r="G91" i="7"/>
  <c r="H91" i="7"/>
  <c r="I91" i="7"/>
  <c r="J91" i="7"/>
  <c r="F91" i="7"/>
  <c r="J106" i="7"/>
  <c r="I106" i="7"/>
  <c r="F106" i="7"/>
  <c r="G106" i="7"/>
  <c r="H106" i="7"/>
  <c r="G105" i="7"/>
  <c r="H105" i="7"/>
  <c r="I105" i="7"/>
  <c r="F105" i="7"/>
  <c r="J105" i="7"/>
  <c r="G97" i="7"/>
  <c r="H97" i="7"/>
  <c r="I97" i="7"/>
  <c r="F97" i="7"/>
  <c r="J97" i="7"/>
  <c r="J88" i="7"/>
  <c r="F88" i="7"/>
  <c r="G88" i="7"/>
  <c r="I88" i="7"/>
  <c r="H88" i="7"/>
  <c r="J80" i="7"/>
  <c r="F80" i="7"/>
  <c r="G80" i="7"/>
  <c r="H80" i="7"/>
  <c r="I80" i="7"/>
  <c r="F72" i="7"/>
  <c r="I72" i="7"/>
  <c r="J72" i="7"/>
  <c r="G72" i="7"/>
  <c r="H72" i="7"/>
  <c r="F64" i="7"/>
  <c r="J64" i="7"/>
  <c r="G64" i="7"/>
  <c r="I64" i="7"/>
  <c r="H64" i="7"/>
  <c r="G59" i="7"/>
  <c r="H59" i="7"/>
  <c r="I59" i="7"/>
  <c r="J59" i="7"/>
  <c r="F59" i="7"/>
  <c r="O124" i="7"/>
  <c r="P124" i="7"/>
  <c r="Q124" i="7"/>
  <c r="R124" i="7"/>
  <c r="N124" i="7"/>
  <c r="P123" i="7"/>
  <c r="N123" i="7"/>
  <c r="O123" i="7"/>
  <c r="R123" i="7"/>
  <c r="Q123" i="7"/>
  <c r="R125" i="7"/>
  <c r="N125" i="7"/>
  <c r="O125" i="7"/>
  <c r="P125" i="7"/>
  <c r="Q125" i="7"/>
  <c r="Q122" i="7"/>
  <c r="R122" i="7"/>
  <c r="O122" i="7"/>
  <c r="N122" i="7"/>
  <c r="P122" i="7"/>
  <c r="R121" i="7"/>
  <c r="R5" i="7" s="1"/>
  <c r="I23" i="7" s="1"/>
  <c r="V23" i="7" s="1"/>
  <c r="Q121" i="7"/>
  <c r="P121" i="7"/>
  <c r="O121" i="7"/>
  <c r="O128" i="7"/>
  <c r="N128" i="7"/>
  <c r="P128" i="7"/>
  <c r="Q128" i="7"/>
  <c r="R128" i="7"/>
  <c r="P127" i="7"/>
  <c r="Q127" i="7"/>
  <c r="R127" i="7"/>
  <c r="N127" i="7"/>
  <c r="O127" i="7"/>
  <c r="Q113" i="7"/>
  <c r="Q4" i="7" s="1"/>
  <c r="P113" i="7"/>
  <c r="O113" i="7"/>
  <c r="M113" i="7"/>
  <c r="N113" i="7"/>
  <c r="N4" i="7" s="1"/>
  <c r="E22" i="7" s="1"/>
  <c r="R113" i="7"/>
  <c r="Q126" i="7"/>
  <c r="N126" i="7"/>
  <c r="O126" i="7"/>
  <c r="P126" i="7"/>
  <c r="R126" i="7"/>
  <c r="R118" i="7"/>
  <c r="M118" i="7"/>
  <c r="P118" i="7"/>
  <c r="P4" i="7" s="1"/>
  <c r="G22" i="7" s="1"/>
  <c r="R22" i="7" s="1"/>
  <c r="O118" i="7"/>
  <c r="N118" i="7"/>
  <c r="Q118" i="7"/>
  <c r="H123" i="7"/>
  <c r="J123" i="7"/>
  <c r="I123" i="7"/>
  <c r="H52" i="7"/>
  <c r="I52" i="7"/>
  <c r="J52" i="7"/>
  <c r="F52" i="7"/>
  <c r="G52" i="7"/>
  <c r="E52" i="7"/>
  <c r="H48" i="7"/>
  <c r="F48" i="7"/>
  <c r="G48" i="7"/>
  <c r="I48" i="7"/>
  <c r="J48" i="7"/>
  <c r="E48" i="7"/>
  <c r="J43" i="7"/>
  <c r="F43" i="7"/>
  <c r="G43" i="7"/>
  <c r="H43" i="7"/>
  <c r="I43" i="7"/>
  <c r="E43" i="7"/>
  <c r="F51" i="7"/>
  <c r="G51" i="7"/>
  <c r="H51" i="7"/>
  <c r="I51" i="7"/>
  <c r="J51" i="7"/>
  <c r="E51" i="7"/>
  <c r="F42" i="7"/>
  <c r="G42" i="7"/>
  <c r="J42" i="7"/>
  <c r="H42" i="7"/>
  <c r="I42" i="7"/>
  <c r="E42" i="7"/>
  <c r="I124" i="7"/>
  <c r="H124" i="7"/>
  <c r="J124" i="7"/>
  <c r="J121" i="7"/>
  <c r="I121" i="7"/>
  <c r="H121" i="7"/>
  <c r="F50" i="7"/>
  <c r="G50" i="7"/>
  <c r="J50" i="7"/>
  <c r="H50" i="7"/>
  <c r="I50" i="7"/>
  <c r="E50" i="7"/>
  <c r="I41" i="7"/>
  <c r="G41" i="7"/>
  <c r="J41" i="7"/>
  <c r="H41" i="7"/>
  <c r="F41" i="7"/>
  <c r="E41" i="7"/>
  <c r="I128" i="7"/>
  <c r="J128" i="7"/>
  <c r="H128" i="7"/>
  <c r="H40" i="7"/>
  <c r="G40" i="7"/>
  <c r="I40" i="7"/>
  <c r="J40" i="7"/>
  <c r="F40" i="7"/>
  <c r="E40" i="7"/>
  <c r="I118" i="7"/>
  <c r="G118" i="7"/>
  <c r="F118" i="7"/>
  <c r="E118" i="7"/>
  <c r="H118" i="7"/>
  <c r="J118" i="7"/>
  <c r="J127" i="7"/>
  <c r="I127" i="7"/>
  <c r="H127" i="7"/>
  <c r="E113" i="7"/>
  <c r="J113" i="7"/>
  <c r="I113" i="7"/>
  <c r="H113" i="7"/>
  <c r="G113" i="7"/>
  <c r="F113" i="7"/>
  <c r="G47" i="7"/>
  <c r="H47" i="7"/>
  <c r="G3" i="7" s="1"/>
  <c r="I47" i="7"/>
  <c r="J47" i="7"/>
  <c r="F47" i="7"/>
  <c r="E47" i="7"/>
  <c r="H39" i="7"/>
  <c r="G39" i="7"/>
  <c r="I39" i="7"/>
  <c r="J39" i="7"/>
  <c r="F39" i="7"/>
  <c r="E39" i="7"/>
  <c r="G38" i="7"/>
  <c r="J38" i="7"/>
  <c r="F38" i="7"/>
  <c r="I38" i="7"/>
  <c r="H38" i="7"/>
  <c r="E38" i="7"/>
  <c r="J126" i="7"/>
  <c r="H126" i="7"/>
  <c r="I126" i="7"/>
  <c r="I49" i="7"/>
  <c r="G49" i="7"/>
  <c r="J49" i="7"/>
  <c r="F49" i="7"/>
  <c r="H49" i="7"/>
  <c r="E49" i="7"/>
  <c r="J46" i="7"/>
  <c r="I46" i="7"/>
  <c r="F46" i="7"/>
  <c r="G46" i="7"/>
  <c r="H46" i="7"/>
  <c r="E46" i="7"/>
  <c r="H44" i="7"/>
  <c r="I44" i="7"/>
  <c r="J44" i="7"/>
  <c r="F44" i="7"/>
  <c r="G44" i="7"/>
  <c r="E44" i="7"/>
  <c r="H122" i="7"/>
  <c r="I122" i="7"/>
  <c r="J122" i="7"/>
  <c r="H125" i="7"/>
  <c r="I125" i="7"/>
  <c r="J125" i="7"/>
  <c r="G45" i="7"/>
  <c r="I45" i="7"/>
  <c r="H45" i="7"/>
  <c r="F45" i="7"/>
  <c r="J45" i="7"/>
  <c r="E45" i="7"/>
  <c r="F127" i="7"/>
  <c r="G127" i="7"/>
  <c r="F126" i="7"/>
  <c r="G126" i="7"/>
  <c r="F123" i="7"/>
  <c r="G123" i="7"/>
  <c r="G128" i="7"/>
  <c r="F128" i="7"/>
  <c r="G125" i="7"/>
  <c r="F125" i="7"/>
  <c r="G124" i="7"/>
  <c r="F124" i="7"/>
  <c r="G122" i="7"/>
  <c r="F122" i="7"/>
  <c r="N121" i="7"/>
  <c r="G121" i="7"/>
  <c r="F121" i="7"/>
  <c r="M122" i="7"/>
  <c r="M123" i="7"/>
  <c r="M124" i="7"/>
  <c r="M125" i="7"/>
  <c r="M126" i="7"/>
  <c r="M127" i="7"/>
  <c r="M128" i="7"/>
  <c r="M121" i="7"/>
  <c r="M5" i="7" s="1"/>
  <c r="D23" i="7" s="1"/>
  <c r="L23" i="7" s="1"/>
  <c r="E54" i="7"/>
  <c r="E55" i="7"/>
  <c r="E56" i="7"/>
  <c r="E57" i="7"/>
  <c r="E58" i="7"/>
  <c r="E59" i="7"/>
  <c r="E60" i="7"/>
  <c r="E61" i="7"/>
  <c r="E62" i="7"/>
  <c r="E63" i="7"/>
  <c r="E64" i="7"/>
  <c r="E65" i="7"/>
  <c r="E66" i="7"/>
  <c r="E67" i="7"/>
  <c r="E68" i="7"/>
  <c r="E69" i="7"/>
  <c r="E70" i="7"/>
  <c r="E71" i="7"/>
  <c r="E72" i="7"/>
  <c r="E73" i="7"/>
  <c r="E74" i="7"/>
  <c r="E75" i="7"/>
  <c r="E76" i="7"/>
  <c r="E77" i="7"/>
  <c r="E78" i="7"/>
  <c r="E79" i="7"/>
  <c r="E80" i="7"/>
  <c r="E81" i="7"/>
  <c r="E82" i="7"/>
  <c r="E83" i="7"/>
  <c r="E84" i="7"/>
  <c r="E85" i="7"/>
  <c r="E86" i="7"/>
  <c r="E87" i="7"/>
  <c r="E88" i="7"/>
  <c r="E89" i="7"/>
  <c r="E90" i="7"/>
  <c r="E91" i="7"/>
  <c r="E92" i="7"/>
  <c r="E93" i="7"/>
  <c r="E94" i="7"/>
  <c r="E96" i="7"/>
  <c r="E97" i="7"/>
  <c r="E98" i="7"/>
  <c r="E99" i="7"/>
  <c r="E100" i="7"/>
  <c r="E101" i="7"/>
  <c r="E102" i="7"/>
  <c r="E103" i="7"/>
  <c r="E104" i="7"/>
  <c r="E105" i="7"/>
  <c r="E106" i="7"/>
  <c r="E107" i="7"/>
  <c r="E108" i="7"/>
  <c r="E109" i="7"/>
  <c r="E110" i="7"/>
  <c r="E122" i="7"/>
  <c r="D5" i="7" s="1"/>
  <c r="D16" i="7" s="1"/>
  <c r="L16" i="7" s="1"/>
  <c r="E123" i="7"/>
  <c r="E124" i="7"/>
  <c r="E125" i="7"/>
  <c r="E126" i="7"/>
  <c r="E127" i="7"/>
  <c r="E128" i="7"/>
  <c r="E121" i="7"/>
  <c r="O22" i="7" l="1"/>
  <c r="Q22" i="7"/>
  <c r="M3" i="7"/>
  <c r="D21" i="7" s="1"/>
  <c r="L21" i="7" s="1"/>
  <c r="M30" i="7" s="1"/>
  <c r="H22" i="7"/>
  <c r="T22" i="7" s="1"/>
  <c r="U22" i="7"/>
  <c r="S22" i="7"/>
  <c r="M22" i="7"/>
  <c r="P22" i="7"/>
  <c r="N22" i="7"/>
  <c r="V22" i="7"/>
  <c r="I3" i="7"/>
  <c r="I14" i="7" s="1"/>
  <c r="N7" i="7"/>
  <c r="E25" i="7" s="1"/>
  <c r="Q25" i="7" s="1"/>
  <c r="W29" i="7" s="1"/>
  <c r="E7" i="7"/>
  <c r="E18" i="7" s="1"/>
  <c r="Q18" i="7" s="1"/>
  <c r="N3" i="7"/>
  <c r="E21" i="7" s="1"/>
  <c r="Q21" i="7" s="1"/>
  <c r="Q3" i="7"/>
  <c r="H21" i="7" s="1"/>
  <c r="Q7" i="7"/>
  <c r="H25" i="7" s="1"/>
  <c r="H18" i="7"/>
  <c r="R3" i="7"/>
  <c r="I21" i="7" s="1"/>
  <c r="R7" i="7"/>
  <c r="I25" i="7" s="1"/>
  <c r="I7" i="7"/>
  <c r="I18" i="7" s="1"/>
  <c r="O3" i="7"/>
  <c r="F21" i="7" s="1"/>
  <c r="O7" i="7"/>
  <c r="F7" i="7"/>
  <c r="F18" i="7" s="1"/>
  <c r="P3" i="7"/>
  <c r="G21" i="7" s="1"/>
  <c r="P7" i="7"/>
  <c r="G25" i="7" s="1"/>
  <c r="G18" i="7"/>
  <c r="D4" i="7"/>
  <c r="D15" i="7" s="1"/>
  <c r="L15" i="7" s="1"/>
  <c r="F5" i="7"/>
  <c r="F16" i="7" s="1"/>
  <c r="G5" i="7"/>
  <c r="I5" i="7"/>
  <c r="I16" i="7" s="1"/>
  <c r="E5" i="7"/>
  <c r="E16" i="7" s="1"/>
  <c r="Q16" i="7" s="1"/>
  <c r="H5" i="7"/>
  <c r="H16" i="7" s="1"/>
  <c r="G14" i="7"/>
  <c r="H3" i="7"/>
  <c r="H14" i="7" s="1"/>
  <c r="F3" i="7"/>
  <c r="F6" i="7"/>
  <c r="F4" i="7"/>
  <c r="F15" i="7" s="1"/>
  <c r="I4" i="7"/>
  <c r="I15" i="7" s="1"/>
  <c r="H4" i="7"/>
  <c r="H15" i="7" s="1"/>
  <c r="G15" i="7"/>
  <c r="E4" i="7"/>
  <c r="E15" i="7" s="1"/>
  <c r="Q15" i="7" s="1"/>
  <c r="E3" i="7"/>
  <c r="E6" i="7"/>
  <c r="G6" i="7"/>
  <c r="I6" i="7"/>
  <c r="H6" i="7"/>
  <c r="W30" i="7" l="1"/>
  <c r="R18" i="7"/>
  <c r="R15" i="7"/>
  <c r="R21" i="7"/>
  <c r="Y30" i="7" s="1"/>
  <c r="G16" i="7"/>
  <c r="R16" i="7" s="1"/>
  <c r="G8" i="7"/>
  <c r="G9" i="7" s="1"/>
  <c r="H8" i="7"/>
  <c r="H9" i="7" s="1"/>
  <c r="R25" i="7"/>
  <c r="Y29" i="7" s="1"/>
  <c r="F25" i="7"/>
  <c r="P25" i="7" s="1"/>
  <c r="U29" i="7" s="1"/>
  <c r="N16" i="7"/>
  <c r="T16" i="7"/>
  <c r="N25" i="7"/>
  <c r="Q29" i="7" s="1"/>
  <c r="V25" i="7"/>
  <c r="AG29" i="7" s="1"/>
  <c r="M25" i="7"/>
  <c r="O29" i="7" s="1"/>
  <c r="O18" i="7"/>
  <c r="S18" i="7"/>
  <c r="U18" i="7"/>
  <c r="M15" i="7"/>
  <c r="P15" i="7"/>
  <c r="V15" i="7"/>
  <c r="U25" i="7"/>
  <c r="AE29" i="7" s="1"/>
  <c r="S25" i="7"/>
  <c r="AA29" i="7" s="1"/>
  <c r="O15" i="7"/>
  <c r="U15" i="7"/>
  <c r="S15" i="7"/>
  <c r="U21" i="7"/>
  <c r="AE30" i="7" s="1"/>
  <c r="S21" i="7"/>
  <c r="AA30" i="7" s="1"/>
  <c r="M16" i="7"/>
  <c r="P16" i="7"/>
  <c r="N18" i="7"/>
  <c r="T18" i="7"/>
  <c r="O25" i="7"/>
  <c r="S29" i="7" s="1"/>
  <c r="N15" i="7"/>
  <c r="T15" i="7"/>
  <c r="O16" i="7"/>
  <c r="S16" i="7"/>
  <c r="T21" i="7"/>
  <c r="AC30" i="7" s="1"/>
  <c r="O21" i="7"/>
  <c r="S30" i="7" s="1"/>
  <c r="M18" i="7"/>
  <c r="V18" i="7"/>
  <c r="P18" i="7"/>
  <c r="N21" i="7"/>
  <c r="Q30" i="7" s="1"/>
  <c r="M21" i="7"/>
  <c r="O30" i="7" s="1"/>
  <c r="V21" i="7"/>
  <c r="AG30" i="7" s="1"/>
  <c r="P21" i="7"/>
  <c r="U30" i="7" s="1"/>
  <c r="P8" i="7"/>
  <c r="P9" i="7" s="1"/>
  <c r="E17" i="7"/>
  <c r="Q17" i="7" s="1"/>
  <c r="V29" i="7" s="1"/>
  <c r="E14" i="7"/>
  <c r="D14" i="7"/>
  <c r="L14" i="7" s="1"/>
  <c r="L30" i="7" s="1"/>
  <c r="F14" i="7"/>
  <c r="I17" i="7"/>
  <c r="G17" i="7"/>
  <c r="H17" i="7"/>
  <c r="F17" i="7"/>
  <c r="R8" i="7"/>
  <c r="R9" i="7" s="1"/>
  <c r="Q8" i="7"/>
  <c r="Q9" i="7" s="1"/>
  <c r="I8" i="7"/>
  <c r="M8" i="7"/>
  <c r="O8" i="7"/>
  <c r="N8" i="7"/>
  <c r="U14" i="7" l="1"/>
  <c r="U16" i="7"/>
  <c r="AD30" i="7" s="1"/>
  <c r="T25" i="7"/>
  <c r="AC29" i="7" s="1"/>
  <c r="S14" i="7"/>
  <c r="Z30" i="7" s="1"/>
  <c r="Q14" i="7"/>
  <c r="V30" i="7" s="1"/>
  <c r="V16" i="7"/>
  <c r="R17" i="7"/>
  <c r="X29" i="7" s="1"/>
  <c r="O14" i="7"/>
  <c r="R30" i="7" s="1"/>
  <c r="R14" i="7"/>
  <c r="X30" i="7" s="1"/>
  <c r="N17" i="7"/>
  <c r="P29" i="7" s="1"/>
  <c r="T17" i="7"/>
  <c r="AB29" i="7" s="1"/>
  <c r="O17" i="7"/>
  <c r="R29" i="7" s="1"/>
  <c r="U17" i="7"/>
  <c r="AD29" i="7" s="1"/>
  <c r="S17" i="7"/>
  <c r="Z29" i="7" s="1"/>
  <c r="M14" i="7"/>
  <c r="N30" i="7" s="1"/>
  <c r="P14" i="7"/>
  <c r="T30" i="7" s="1"/>
  <c r="V14" i="7"/>
  <c r="P17" i="7"/>
  <c r="T29" i="7" s="1"/>
  <c r="V17" i="7"/>
  <c r="AF29" i="7" s="1"/>
  <c r="N14" i="7"/>
  <c r="P30" i="7" s="1"/>
  <c r="T14" i="7"/>
  <c r="AB30" i="7" s="1"/>
  <c r="I9" i="7"/>
  <c r="M9" i="7"/>
  <c r="D6" i="26" s="1"/>
  <c r="N9" i="7"/>
  <c r="N6" i="26" s="1"/>
  <c r="O9" i="7"/>
  <c r="M6" i="26" s="1"/>
  <c r="E8" i="7"/>
  <c r="I6" i="26" l="1"/>
  <c r="AF30" i="7"/>
  <c r="G6" i="26"/>
  <c r="L6" i="26"/>
  <c r="K6" i="26"/>
  <c r="H6" i="26"/>
  <c r="J6" i="26"/>
  <c r="E6" i="26"/>
  <c r="F6" i="26"/>
  <c r="E9" i="7"/>
  <c r="I5" i="26" s="1"/>
  <c r="F8" i="7"/>
  <c r="I7" i="26" l="1"/>
  <c r="I8" i="26" s="1"/>
  <c r="N5" i="26"/>
  <c r="AL4" i="7" s="1"/>
  <c r="K5" i="26"/>
  <c r="K7" i="26" s="1"/>
  <c r="K8" i="26" s="1"/>
  <c r="F9" i="7"/>
  <c r="F5" i="26" l="1"/>
  <c r="F7" i="26" s="1"/>
  <c r="F8" i="26" s="1"/>
  <c r="AD4" i="7" s="1"/>
  <c r="M5" i="26"/>
  <c r="M8" i="26" s="1"/>
  <c r="AK4" i="7" s="1"/>
  <c r="L5" i="26"/>
  <c r="L7" i="26" s="1"/>
  <c r="L8" i="26" s="1"/>
  <c r="H5" i="26"/>
  <c r="H7" i="26" s="1"/>
  <c r="H8" i="26" s="1"/>
  <c r="G5" i="26"/>
  <c r="G7" i="26" s="1"/>
  <c r="G8" i="26" s="1"/>
  <c r="AE4" i="7" s="1"/>
  <c r="J5" i="26"/>
  <c r="J7" i="26" s="1"/>
  <c r="AG4" i="7"/>
  <c r="J8" i="26" l="1"/>
  <c r="AH4" i="7" s="1"/>
  <c r="AH3" i="7"/>
  <c r="AD3" i="7"/>
  <c r="AG3" i="7"/>
  <c r="AE3" i="7"/>
  <c r="AF4" i="7"/>
  <c r="AF3" i="7"/>
  <c r="D6" i="7" l="1"/>
  <c r="D8" i="7" l="1"/>
  <c r="D17" i="7"/>
  <c r="L17" i="7" l="1"/>
  <c r="L29" i="7" s="1"/>
  <c r="M17" i="7"/>
  <c r="N29" i="7" s="1"/>
  <c r="D9" i="7"/>
  <c r="D5" i="26" l="1"/>
  <c r="E5" i="26"/>
  <c r="E7" i="26" s="1"/>
  <c r="AB7" i="7" l="1"/>
  <c r="D8" i="26"/>
  <c r="AB5" i="7" s="1"/>
  <c r="E8" i="26"/>
  <c r="AD7" i="7" l="1"/>
  <c r="AC13" i="7"/>
  <c r="S4" i="26" s="1"/>
  <c r="AL7" i="7"/>
  <c r="AH7" i="7"/>
  <c r="AK5" i="7"/>
  <c r="AK6" i="7" s="1"/>
  <c r="AF5" i="7"/>
  <c r="AF6" i="7" s="1"/>
  <c r="AL5" i="7"/>
  <c r="AD5" i="7"/>
  <c r="AD6" i="7" s="1"/>
  <c r="AG7" i="7"/>
  <c r="AF7" i="7"/>
  <c r="AJ7" i="7"/>
  <c r="AJ5" i="7"/>
  <c r="AJ6" i="7" s="1"/>
  <c r="AI5" i="7"/>
  <c r="AI6" i="7" s="1"/>
  <c r="AC7" i="7"/>
  <c r="AE7" i="7"/>
  <c r="AH5" i="7"/>
  <c r="AH6" i="7" s="1"/>
  <c r="AC5" i="7"/>
  <c r="AC6" i="7" s="1"/>
  <c r="AK7" i="7"/>
  <c r="AI7" i="7"/>
  <c r="AE5" i="7"/>
  <c r="AE6" i="7" s="1"/>
  <c r="AG5" i="7"/>
  <c r="AG6" i="7" s="1"/>
  <c r="AL6" i="7" l="1"/>
  <c r="AC12" i="7" s="1"/>
  <c r="V4" i="26" s="1"/>
  <c r="P4" i="26"/>
</calcChain>
</file>

<file path=xl/sharedStrings.xml><?xml version="1.0" encoding="utf-8"?>
<sst xmlns="http://schemas.openxmlformats.org/spreadsheetml/2006/main" count="715" uniqueCount="214">
  <si>
    <t>Every500'</t>
  </si>
  <si>
    <t>Every750'</t>
  </si>
  <si>
    <t>Every250'</t>
  </si>
  <si>
    <t>Cost Category</t>
  </si>
  <si>
    <t>NA</t>
  </si>
  <si>
    <t>Aerial</t>
  </si>
  <si>
    <t>MicroTrench</t>
  </si>
  <si>
    <t>Direct Bury - Open Trench</t>
  </si>
  <si>
    <t xml:space="preserve">Direct Bury - Directional Bore </t>
  </si>
  <si>
    <t>Direct Bury - Plow</t>
  </si>
  <si>
    <t>Closers/Boxes/terminals</t>
  </si>
  <si>
    <t>Closures/Boxes/Terminals</t>
  </si>
  <si>
    <t>Single Duct Cost/ft</t>
  </si>
  <si>
    <t>Standard Conduit</t>
  </si>
  <si>
    <t>2-way FP 27/20</t>
  </si>
  <si>
    <t>2-way FP 22/16</t>
  </si>
  <si>
    <t>2-way FP 18/14</t>
  </si>
  <si>
    <t>2-way FP 16/13</t>
  </si>
  <si>
    <t>2-way FP 16/12</t>
  </si>
  <si>
    <t>2-way FP 14/10</t>
  </si>
  <si>
    <t>2-way FP 12.7/10</t>
  </si>
  <si>
    <t>2-way FP 8.5/6 (No Locate)</t>
  </si>
  <si>
    <t>2-way FP 5/3.5 (No Locate)</t>
  </si>
  <si>
    <t>3-way FP 27/20</t>
  </si>
  <si>
    <t>3-way FP 22/16</t>
  </si>
  <si>
    <t>3-way FP 18/14</t>
  </si>
  <si>
    <t>3-way FP 18/14 (Thicker OS)</t>
  </si>
  <si>
    <t>3-way FP 16/13</t>
  </si>
  <si>
    <t>3-way FP 16/12</t>
  </si>
  <si>
    <t>3-way FP 14/10</t>
  </si>
  <si>
    <t>3-way FP 12.7/10</t>
  </si>
  <si>
    <t>3-way FP 10/8</t>
  </si>
  <si>
    <t>3-way FP 8.5/6 (No Locate)</t>
  </si>
  <si>
    <t>3-way FP 18/14 (Flat)</t>
  </si>
  <si>
    <t>3-way FP 16/13 (Flat)</t>
  </si>
  <si>
    <t>3-way FP 16/12 (Flat)</t>
  </si>
  <si>
    <t>3-way FP 10/8 (FLat)</t>
  </si>
  <si>
    <t>3-way FP 10/8 (Flat/Double OS)</t>
  </si>
  <si>
    <t>3-way FP 5/3.5</t>
  </si>
  <si>
    <t>4-way FP 27/20</t>
  </si>
  <si>
    <t>4-way FP 22/16</t>
  </si>
  <si>
    <t>4-way FP 18/14</t>
  </si>
  <si>
    <t>4-way FP 18/14 (Thicker OS)</t>
  </si>
  <si>
    <t>4-way FP 16/13</t>
  </si>
  <si>
    <t>4-way FP 16/12</t>
  </si>
  <si>
    <t>4-way FP 16/12 (Thicker OS)</t>
  </si>
  <si>
    <t>4-way FP 14/10</t>
  </si>
  <si>
    <t>4-way FP 12.7/10</t>
  </si>
  <si>
    <t>4-way FP 12.7/10 (Thicker OS)</t>
  </si>
  <si>
    <t>4-way FP 10/8</t>
  </si>
  <si>
    <t>4-way FP 10/8 (Thicker OS)</t>
  </si>
  <si>
    <t>4-way FP 8.5/6 (No Locate)</t>
  </si>
  <si>
    <t>4-way FP 5/3.5 (No Locate)</t>
  </si>
  <si>
    <t>4-way FP 16/13 (Flat)</t>
  </si>
  <si>
    <t>4-way FP 12.7/10 (Flat)</t>
  </si>
  <si>
    <t>7-way FP 22/16</t>
  </si>
  <si>
    <t>7-way FP 18/14</t>
  </si>
  <si>
    <t>7-way FP 18/14 (Thicker OS)</t>
  </si>
  <si>
    <t>7-way FP 16/13</t>
  </si>
  <si>
    <t>7-way FP 16/12</t>
  </si>
  <si>
    <t>7-way FP 16/12 (Thicker OS)</t>
  </si>
  <si>
    <t>7-way FP 14/10</t>
  </si>
  <si>
    <t>7-way FP 12.7/10</t>
  </si>
  <si>
    <t>7-way FP 12.7/10 (Thicker OS)</t>
  </si>
  <si>
    <t>7-way FP 10/8</t>
  </si>
  <si>
    <t>7-way FP 8.5/6 (No Locate)</t>
  </si>
  <si>
    <t>7-way FP 5/3.5 (No Locate)</t>
  </si>
  <si>
    <t>7-way FP 16/13 (Thicker OS)</t>
  </si>
  <si>
    <t>7-way FP 14/10 (Thicker OS)</t>
  </si>
  <si>
    <t>7-way FP 7/5.5</t>
  </si>
  <si>
    <t>When</t>
  </si>
  <si>
    <t>No of Pathways / Micro Cables</t>
  </si>
  <si>
    <t>C</t>
  </si>
  <si>
    <t>A</t>
  </si>
  <si>
    <t>B</t>
  </si>
  <si>
    <t>L</t>
  </si>
  <si>
    <t>E</t>
  </si>
  <si>
    <t>IRR</t>
  </si>
  <si>
    <t>PathWay</t>
  </si>
  <si>
    <t>Material</t>
  </si>
  <si>
    <t>Cable</t>
  </si>
  <si>
    <t>Closers/terminals</t>
  </si>
  <si>
    <t>MicroCables</t>
  </si>
  <si>
    <t>T</t>
  </si>
  <si>
    <t>H</t>
  </si>
  <si>
    <t>P</t>
  </si>
  <si>
    <t>W</t>
  </si>
  <si>
    <t>Y</t>
  </si>
  <si>
    <t>Cost Categories</t>
  </si>
  <si>
    <t>Cost/ft of Deployment</t>
  </si>
  <si>
    <t>Cost category</t>
  </si>
  <si>
    <t>No of Cables</t>
  </si>
  <si>
    <t>Pathway</t>
  </si>
  <si>
    <t>7-way FP 27/20</t>
  </si>
  <si>
    <t>2-way FP 8.5/6</t>
  </si>
  <si>
    <t>3-way FP 8.5/6</t>
  </si>
  <si>
    <t>4-way FP 8.5/6</t>
  </si>
  <si>
    <t>7-way FP 8.5/6</t>
  </si>
  <si>
    <t>wft/ft</t>
  </si>
  <si>
    <t>Price/ft</t>
  </si>
  <si>
    <t>Price @ date</t>
  </si>
  <si>
    <t>Price @ date 20/03/19</t>
  </si>
  <si>
    <t>1"/ SDR - 13.5</t>
  </si>
  <si>
    <t>1"/ SDR - 11</t>
  </si>
  <si>
    <t>1"/ SDR - 9.0</t>
  </si>
  <si>
    <t>1 - 1/4" / SDR - 13.5</t>
  </si>
  <si>
    <t>1 - 1/4" / SDR - 11</t>
  </si>
  <si>
    <t>1 - 1/4" / SDR - 9.0</t>
  </si>
  <si>
    <t>1 - 1/2" / SDR - 13.5</t>
  </si>
  <si>
    <t>1 - 1/2" / SDR - 11</t>
  </si>
  <si>
    <t>1 - 1/2" / SDR - 9</t>
  </si>
  <si>
    <t>2" / SDR - 13.5</t>
  </si>
  <si>
    <t>2" / SDR - 11</t>
  </si>
  <si>
    <t>2" / SDR - 9</t>
  </si>
  <si>
    <t>3" / SDR - 13.5</t>
  </si>
  <si>
    <t>3" / SDR - 11</t>
  </si>
  <si>
    <t>3" / SDR - 9</t>
  </si>
  <si>
    <t>Pathway - None</t>
  </si>
  <si>
    <t>Blank</t>
  </si>
  <si>
    <t>No of Pathways</t>
  </si>
  <si>
    <t>Upgrade 1</t>
  </si>
  <si>
    <t>Upgrade 2</t>
  </si>
  <si>
    <t>Upgrade 3</t>
  </si>
  <si>
    <t>Closures/Terminals</t>
  </si>
  <si>
    <t>ROI</t>
  </si>
  <si>
    <t>Upgrade 4</t>
  </si>
  <si>
    <t>Upgrade 5</t>
  </si>
  <si>
    <t>No Upgrade</t>
  </si>
  <si>
    <t>Initial Cost</t>
  </si>
  <si>
    <t>TCO per foot</t>
  </si>
  <si>
    <t>Length of Deployment</t>
  </si>
  <si>
    <t>Year</t>
  </si>
  <si>
    <t>Project (Savings $)</t>
  </si>
  <si>
    <t>NPV (Savings $)</t>
  </si>
  <si>
    <t>Not required</t>
  </si>
  <si>
    <t>Years</t>
  </si>
  <si>
    <t>NPV</t>
  </si>
  <si>
    <t>Initial CapEx</t>
  </si>
  <si>
    <t>sum of all NPVs</t>
  </si>
  <si>
    <t>NPV / initial cost</t>
  </si>
  <si>
    <t>Growth</t>
  </si>
  <si>
    <t>Cumm (Savings$)</t>
  </si>
  <si>
    <t>Total Project Cost</t>
  </si>
  <si>
    <t>Definitions</t>
  </si>
  <si>
    <t>Project (Savings $) = Total cost of SC - Total Cost of FP</t>
  </si>
  <si>
    <t>ROI for n yrs = Cumm NPV of savings over n yrs / Initial Cost</t>
  </si>
  <si>
    <t>IRR = Used excel formula on project savings over 10 yrs period</t>
  </si>
  <si>
    <t>based upon project savings on 10 yrs</t>
  </si>
  <si>
    <t>Project Length</t>
  </si>
  <si>
    <t>FT</t>
  </si>
  <si>
    <t>NPV (Savings $) = Project cost/(1+DR)^yr</t>
  </si>
  <si>
    <t>Project Savings ($)</t>
  </si>
  <si>
    <t>PW</t>
  </si>
  <si>
    <t>Cab</t>
  </si>
  <si>
    <t>Cum (NPV)</t>
  </si>
  <si>
    <t>Cable Installation</t>
  </si>
  <si>
    <t>Not Required</t>
  </si>
  <si>
    <t>Std Cable1</t>
  </si>
  <si>
    <t>Std Cable 2</t>
  </si>
  <si>
    <t>Std Cable 3</t>
  </si>
  <si>
    <t>Cables</t>
  </si>
  <si>
    <t>Micro Cable1</t>
  </si>
  <si>
    <t>Micro Cable2</t>
  </si>
  <si>
    <t>Micro Cable3</t>
  </si>
  <si>
    <t>Pathway Installation</t>
  </si>
  <si>
    <t>PW Installation Multiple</t>
  </si>
  <si>
    <t>Jetted Micro Cable Inst'll</t>
  </si>
  <si>
    <t xml:space="preserve">Jetted Std Cable Inst'll </t>
  </si>
  <si>
    <t xml:space="preserve">Pulled Micro Cable Inst'll </t>
  </si>
  <si>
    <t xml:space="preserve">Pulled Std Cable Inst'll </t>
  </si>
  <si>
    <t xml:space="preserve">Std Cable Inst'll </t>
  </si>
  <si>
    <t xml:space="preserve">Micro Cable Inst'll </t>
  </si>
  <si>
    <t>PW Inst</t>
  </si>
  <si>
    <t>Cab Inst</t>
  </si>
  <si>
    <t>Boxes</t>
  </si>
  <si>
    <t>of Total Installation Cost</t>
  </si>
  <si>
    <t>Labor Cost</t>
  </si>
  <si>
    <t>Material Cost</t>
  </si>
  <si>
    <t>MILES</t>
  </si>
  <si>
    <t>Total Cost (SC)</t>
  </si>
  <si>
    <r>
      <t>Year</t>
    </r>
    <r>
      <rPr>
        <sz val="11"/>
        <color theme="1"/>
        <rFont val="Calibri Light"/>
        <family val="2"/>
      </rPr>
      <t>↓</t>
    </r>
  </si>
  <si>
    <r>
      <t>Growth</t>
    </r>
    <r>
      <rPr>
        <sz val="11"/>
        <color theme="1"/>
        <rFont val="Calibri Light"/>
        <family val="2"/>
      </rPr>
      <t>↓</t>
    </r>
  </si>
  <si>
    <t>Fiber/Cables</t>
  </si>
  <si>
    <t>3-way FP 10/8 (Flat)</t>
  </si>
  <si>
    <t>Total Cost (FP)</t>
  </si>
  <si>
    <t>FuturePath</t>
  </si>
  <si>
    <t>None</t>
  </si>
  <si>
    <t>Blank1</t>
  </si>
  <si>
    <t>Blank2</t>
  </si>
  <si>
    <t>Blank3</t>
  </si>
  <si>
    <t>Blank4</t>
  </si>
  <si>
    <t>Time Value of Money</t>
  </si>
  <si>
    <t>HDD - Rural Area</t>
  </si>
  <si>
    <t>HDD - Urban Area</t>
  </si>
  <si>
    <r>
      <t xml:space="preserve">Resin Index </t>
    </r>
    <r>
      <rPr>
        <b/>
        <sz val="11"/>
        <rFont val="Calibri Light"/>
        <family val="2"/>
      </rPr>
      <t>→</t>
    </r>
  </si>
  <si>
    <r>
      <t xml:space="preserve">Change (Delta) </t>
    </r>
    <r>
      <rPr>
        <b/>
        <sz val="10"/>
        <rFont val="Calibri Light"/>
        <family val="2"/>
      </rPr>
      <t>→</t>
    </r>
  </si>
  <si>
    <r>
      <t xml:space="preserve">% Change (Delta) </t>
    </r>
    <r>
      <rPr>
        <b/>
        <sz val="10"/>
        <rFont val="Calibri Light"/>
        <family val="2"/>
      </rPr>
      <t>→</t>
    </r>
  </si>
  <si>
    <t xml:space="preserve">is Sum of </t>
  </si>
  <si>
    <t>Pathway costs + Cable costs + Boxes or closures costs</t>
  </si>
  <si>
    <t>Lab Cost</t>
  </si>
  <si>
    <t>Mat Cost</t>
  </si>
  <si>
    <t>Need a price review? Go to</t>
  </si>
  <si>
    <t>Need to check calculations? Go to</t>
  </si>
  <si>
    <t>CALCULATIONS</t>
  </si>
  <si>
    <t xml:space="preserve">Need a new analysis? </t>
  </si>
  <si>
    <t>Year of analysis</t>
  </si>
  <si>
    <t>NAVIGATION PANAL</t>
  </si>
  <si>
    <t>total installation cost</t>
  </si>
  <si>
    <t>PW cost + Cable Cost +</t>
  </si>
  <si>
    <t>terminal cost</t>
  </si>
  <si>
    <t>Note:</t>
  </si>
  <si>
    <r>
      <rPr>
        <b/>
        <i/>
        <u/>
        <sz val="10"/>
        <color theme="1"/>
        <rFont val="Calibri"/>
        <family val="2"/>
        <scheme val="minor"/>
      </rPr>
      <t>Labor cost</t>
    </r>
    <r>
      <rPr>
        <b/>
        <i/>
        <sz val="10"/>
        <color theme="1"/>
        <rFont val="Calibri"/>
        <family val="2"/>
        <scheme val="minor"/>
      </rPr>
      <t xml:space="preserve"> is X% of</t>
    </r>
  </si>
  <si>
    <r>
      <rPr>
        <b/>
        <i/>
        <u/>
        <sz val="10"/>
        <color theme="1"/>
        <rFont val="Calibri"/>
        <family val="2"/>
        <scheme val="minor"/>
      </rPr>
      <t>Material cost</t>
    </r>
    <r>
      <rPr>
        <b/>
        <i/>
        <sz val="10"/>
        <color theme="1"/>
        <rFont val="Calibri"/>
        <family val="2"/>
        <scheme val="minor"/>
      </rPr>
      <t xml:space="preserve"> is SUM of</t>
    </r>
  </si>
  <si>
    <t>KM's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</si>
</sst>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_-&quot;£&quot;* #,##0.00_-;\-&quot;£&quot;* #,##0.00_-;_-&quot;£&quot;* &quot;-&quot;??_-;_-@_-"/>
    <numFmt numFmtId="165" formatCode="_-[$$-409]* #,##0.00_ ;_-[$$-409]* \-#,##0.00\ ;_-[$$-409]* &quot;-&quot;??_ ;_-@_ "/>
    <numFmt numFmtId="166" formatCode="_-[$$-409]* #,##0.0_ ;_-[$$-409]* \-#,##0.0\ ;_-[$$-409]* &quot;-&quot;??_ ;_-@_ "/>
    <numFmt numFmtId="167" formatCode="_-[$$-409]* #,##0.000_ ;_-[$$-409]* \-#,##0.000\ ;_-[$$-409]* &quot;-&quot;??_ ;_-@_ "/>
    <numFmt numFmtId="168" formatCode="0.0%"/>
    <numFmt numFmtId="169" formatCode="_-[$$-409]* #,##0.0000_ ;_-[$$-409]* \-#,##0.0000\ ;_-[$$-409]* &quot;-&quot;??_ ;_-@_ "/>
    <numFmt numFmtId="170" formatCode="_-[$$-409]* #,##0_ ;_-[$$-409]* \-#,##0\ ;_-[$$-409]* &quot;-&quot;??_ ;_-@_ "/>
    <numFmt numFmtId="171" formatCode="0.0"/>
  </numFmts>
  <fonts count="8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color rgb="FF7030A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1"/>
      <name val="Calibri"/>
      <family val="2"/>
      <scheme val="minor"/>
    </font>
    <font>
      <sz val="11"/>
      <name val="Calibri Light"/>
      <family val="2"/>
      <scheme val="major"/>
    </font>
    <font>
      <b/>
      <sz val="11"/>
      <color rgb="FFC41E95"/>
      <name val="Calibri"/>
      <family val="2"/>
      <scheme val="minor"/>
    </font>
    <font>
      <b/>
      <sz val="11"/>
      <color rgb="FFC41E95"/>
      <name val="Calibri Light"/>
      <family val="2"/>
      <scheme val="major"/>
    </font>
    <font>
      <sz val="11"/>
      <color theme="9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 Light"/>
      <family val="2"/>
      <scheme val="major"/>
    </font>
    <font>
      <sz val="11"/>
      <color theme="1"/>
      <name val="Calibri Light"/>
      <family val="2"/>
      <scheme val="major"/>
    </font>
    <font>
      <sz val="11"/>
      <color rgb="FF0070C0"/>
      <name val="Calibri Light"/>
      <family val="2"/>
      <scheme val="major"/>
    </font>
    <font>
      <sz val="11"/>
      <color rgb="FFFF0000"/>
      <name val="Calibri Light"/>
      <family val="2"/>
      <scheme val="major"/>
    </font>
    <font>
      <sz val="11"/>
      <color theme="9" tint="-0.249977111117893"/>
      <name val="Calibri Light"/>
      <family val="2"/>
      <scheme val="major"/>
    </font>
    <font>
      <sz val="11"/>
      <color rgb="FF7030A0"/>
      <name val="Calibri Light"/>
      <family val="2"/>
      <scheme val="major"/>
    </font>
    <font>
      <sz val="11"/>
      <color theme="0" tint="-0.499984740745262"/>
      <name val="Calibri Light"/>
      <family val="2"/>
      <scheme val="major"/>
    </font>
    <font>
      <b/>
      <sz val="11"/>
      <color rgb="FF7030A0"/>
      <name val="Calibri Light"/>
      <family val="2"/>
      <scheme val="major"/>
    </font>
    <font>
      <b/>
      <sz val="11"/>
      <name val="Calibri"/>
      <family val="2"/>
      <scheme val="minor"/>
    </font>
    <font>
      <sz val="10"/>
      <name val="Calibri"/>
      <family val="2"/>
      <scheme val="minor"/>
    </font>
    <font>
      <sz val="8"/>
      <color theme="1"/>
      <name val="Calibri Light"/>
      <family val="2"/>
      <scheme val="major"/>
    </font>
    <font>
      <sz val="9"/>
      <name val="Calibri"/>
      <family val="2"/>
      <scheme val="minor"/>
    </font>
    <font>
      <sz val="11"/>
      <color theme="5"/>
      <name val="Calibri Light"/>
      <family val="2"/>
      <scheme val="major"/>
    </font>
    <font>
      <sz val="11"/>
      <color theme="5" tint="-0.249977111117893"/>
      <name val="Calibri"/>
      <family val="2"/>
      <scheme val="minor"/>
    </font>
    <font>
      <b/>
      <sz val="9"/>
      <name val="Calibri"/>
      <family val="2"/>
      <scheme val="minor"/>
    </font>
    <font>
      <b/>
      <sz val="10"/>
      <name val="Calibri Light"/>
      <family val="2"/>
      <scheme val="major"/>
    </font>
    <font>
      <b/>
      <sz val="10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color theme="8" tint="-0.249977111117893"/>
      <name val="Calibri Light"/>
      <family val="2"/>
      <scheme val="major"/>
    </font>
    <font>
      <sz val="11"/>
      <color theme="5" tint="-0.499984740745262"/>
      <name val="Calibri Light"/>
      <family val="2"/>
      <scheme val="major"/>
    </font>
    <font>
      <sz val="11"/>
      <color theme="8" tint="-0.249977111117893"/>
      <name val="Calibri Light"/>
      <family val="2"/>
      <scheme val="major"/>
    </font>
    <font>
      <sz val="10"/>
      <color theme="5" tint="-0.249977111117893"/>
      <name val="Calibri Light"/>
      <family val="2"/>
      <scheme val="major"/>
    </font>
    <font>
      <b/>
      <sz val="22"/>
      <name val="Calibri"/>
      <family val="2"/>
      <scheme val="minor"/>
    </font>
    <font>
      <b/>
      <sz val="14"/>
      <color rgb="FF00B050"/>
      <name val="Calibri"/>
      <family val="2"/>
      <scheme val="minor"/>
    </font>
    <font>
      <b/>
      <sz val="14"/>
      <color rgb="FF0070C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2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sz val="16"/>
      <color rgb="FF00B050"/>
      <name val="Calibri"/>
      <family val="2"/>
      <scheme val="minor"/>
    </font>
    <font>
      <b/>
      <sz val="16"/>
      <color rgb="FF0070C0"/>
      <name val="Calibri"/>
      <family val="2"/>
      <scheme val="minor"/>
    </font>
    <font>
      <b/>
      <sz val="16"/>
      <color rgb="FFFF0000"/>
      <name val="Calibri"/>
      <family val="2"/>
      <scheme val="minor"/>
    </font>
    <font>
      <b/>
      <sz val="13"/>
      <color theme="1"/>
      <name val="Calibri"/>
      <family val="2"/>
      <scheme val="minor"/>
    </font>
    <font>
      <b/>
      <sz val="11"/>
      <color theme="5" tint="-0.499984740745262"/>
      <name val="Calibri"/>
      <family val="2"/>
      <scheme val="minor"/>
    </font>
    <font>
      <b/>
      <sz val="11"/>
      <color theme="8" tint="-0.249977111117893"/>
      <name val="Calibri"/>
      <family val="2"/>
      <scheme val="minor"/>
    </font>
    <font>
      <sz val="10"/>
      <color theme="5" tint="-0.249977111117893"/>
      <name val="Calibri"/>
      <family val="2"/>
      <scheme val="minor"/>
    </font>
    <font>
      <sz val="10"/>
      <color theme="8" tint="-0.249977111117893"/>
      <name val="Calibri"/>
      <family val="2"/>
      <scheme val="minor"/>
    </font>
    <font>
      <sz val="10"/>
      <color rgb="FF0070C0"/>
      <name val="Calibri"/>
      <family val="2"/>
      <scheme val="minor"/>
    </font>
    <font>
      <sz val="11"/>
      <color theme="5" tint="-0.499984740745262"/>
      <name val="Calibri"/>
      <family val="2"/>
      <scheme val="minor"/>
    </font>
    <font>
      <sz val="11"/>
      <color theme="8" tint="-0.249977111117893"/>
      <name val="Calibri"/>
      <family val="2"/>
      <scheme val="minor"/>
    </font>
    <font>
      <b/>
      <sz val="14"/>
      <name val="Calibri"/>
      <family val="2"/>
      <scheme val="minor"/>
    </font>
    <font>
      <sz val="12"/>
      <name val="Calibri"/>
      <family val="2"/>
      <scheme val="minor"/>
    </font>
    <font>
      <sz val="11"/>
      <color theme="1"/>
      <name val="Calibri Light"/>
      <family val="2"/>
    </font>
    <font>
      <b/>
      <sz val="11"/>
      <color rgb="FF00B5EC"/>
      <name val="Calibri"/>
      <family val="2"/>
      <scheme val="minor"/>
    </font>
    <font>
      <b/>
      <sz val="16"/>
      <color rgb="FF00B5EC"/>
      <name val="Calibri"/>
      <family val="2"/>
      <scheme val="minor"/>
    </font>
    <font>
      <sz val="22"/>
      <name val="Calibri"/>
      <family val="2"/>
      <scheme val="minor"/>
    </font>
    <font>
      <b/>
      <sz val="12"/>
      <name val="Calibri Light"/>
      <family val="2"/>
      <scheme val="major"/>
    </font>
    <font>
      <b/>
      <sz val="12"/>
      <color rgb="FF008000"/>
      <name val="Calibri"/>
      <family val="2"/>
      <scheme val="minor"/>
    </font>
    <font>
      <b/>
      <sz val="12"/>
      <color rgb="FF0070C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3"/>
      <color theme="0"/>
      <name val="Calibri"/>
      <family val="2"/>
      <scheme val="minor"/>
    </font>
    <font>
      <b/>
      <sz val="11"/>
      <name val="Calibri Light"/>
      <family val="2"/>
    </font>
    <font>
      <b/>
      <sz val="10"/>
      <name val="Calibri Light"/>
      <family val="2"/>
    </font>
    <font>
      <sz val="12"/>
      <color rgb="FF000000"/>
      <name val="Calibri"/>
      <family val="2"/>
    </font>
    <font>
      <b/>
      <sz val="10"/>
      <color rgb="FFC41E95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rgb="FF000000"/>
      <name val="Calibri"/>
      <family val="2"/>
    </font>
    <font>
      <i/>
      <sz val="11"/>
      <color theme="0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4"/>
      <color rgb="FF0066CC"/>
      <name val="Calibri"/>
      <family val="2"/>
    </font>
    <font>
      <b/>
      <sz val="12"/>
      <color rgb="FF0066CC"/>
      <name val="Calibri"/>
      <family val="2"/>
    </font>
    <font>
      <b/>
      <i/>
      <sz val="10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i/>
      <u/>
      <sz val="10"/>
      <color theme="1"/>
      <name val="Calibri"/>
      <family val="2"/>
      <scheme val="minor"/>
    </font>
    <font>
      <b/>
      <sz val="16"/>
      <name val="Calibri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B5EC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0" tint="-0.499984740745262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394">
    <xf numFmtId="0" fontId="0" fillId="0" borderId="0" xfId="0"/>
    <xf numFmtId="165" fontId="0" fillId="0" borderId="0" xfId="0" applyNumberFormat="1"/>
    <xf numFmtId="0" fontId="5" fillId="0" borderId="0" xfId="0" applyFont="1"/>
    <xf numFmtId="0" fontId="2" fillId="0" borderId="0" xfId="0" applyFont="1"/>
    <xf numFmtId="165" fontId="2" fillId="0" borderId="0" xfId="0" applyNumberFormat="1" applyFont="1"/>
    <xf numFmtId="0" fontId="6" fillId="0" borderId="0" xfId="0" applyFont="1"/>
    <xf numFmtId="165" fontId="6" fillId="0" borderId="0" xfId="0" applyNumberFormat="1" applyFont="1"/>
    <xf numFmtId="0" fontId="7" fillId="0" borderId="0" xfId="0" applyFont="1"/>
    <xf numFmtId="165" fontId="7" fillId="0" borderId="0" xfId="0" applyNumberFormat="1" applyFont="1"/>
    <xf numFmtId="0" fontId="0" fillId="3" borderId="0" xfId="0" applyFill="1"/>
    <xf numFmtId="0" fontId="8" fillId="3" borderId="0" xfId="0" applyFont="1" applyFill="1"/>
    <xf numFmtId="0" fontId="3" fillId="0" borderId="0" xfId="0" applyFont="1"/>
    <xf numFmtId="0" fontId="0" fillId="0" borderId="0" xfId="0" applyAlignment="1">
      <alignment horizontal="center" vertical="center"/>
    </xf>
    <xf numFmtId="165" fontId="10" fillId="0" borderId="0" xfId="0" applyNumberFormat="1" applyFont="1"/>
    <xf numFmtId="0" fontId="10" fillId="0" borderId="0" xfId="0" applyFont="1"/>
    <xf numFmtId="0" fontId="0" fillId="5" borderId="0" xfId="0" applyFill="1" applyAlignment="1">
      <alignment vertical="center" textRotation="90"/>
    </xf>
    <xf numFmtId="0" fontId="0" fillId="6" borderId="0" xfId="0" applyFill="1" applyAlignment="1">
      <alignment vertical="center" textRotation="90"/>
    </xf>
    <xf numFmtId="0" fontId="0" fillId="8" borderId="0" xfId="0" applyFill="1" applyAlignment="1">
      <alignment vertical="center" textRotation="90"/>
    </xf>
    <xf numFmtId="0" fontId="12" fillId="0" borderId="0" xfId="0" applyFont="1"/>
    <xf numFmtId="0" fontId="8" fillId="0" borderId="0" xfId="0" applyFont="1"/>
    <xf numFmtId="0" fontId="0" fillId="10" borderId="0" xfId="0" applyFill="1"/>
    <xf numFmtId="0" fontId="0" fillId="10" borderId="0" xfId="0" applyFill="1" applyAlignment="1">
      <alignment vertical="center"/>
    </xf>
    <xf numFmtId="165" fontId="10" fillId="10" borderId="0" xfId="0" applyNumberFormat="1" applyFont="1" applyFill="1" applyAlignment="1">
      <alignment horizontal="center" vertical="center" wrapText="1"/>
    </xf>
    <xf numFmtId="0" fontId="0" fillId="5" borderId="0" xfId="0" applyFill="1" applyAlignment="1">
      <alignment vertical="center"/>
    </xf>
    <xf numFmtId="0" fontId="0" fillId="6" borderId="0" xfId="0" applyFill="1" applyAlignment="1">
      <alignment vertical="center"/>
    </xf>
    <xf numFmtId="0" fontId="13" fillId="6" borderId="0" xfId="0" applyFont="1" applyFill="1" applyAlignment="1">
      <alignment horizontal="center" vertical="center"/>
    </xf>
    <xf numFmtId="0" fontId="11" fillId="0" borderId="0" xfId="0" applyFont="1" applyAlignment="1">
      <alignment horizontal="left" vertical="center"/>
    </xf>
    <xf numFmtId="0" fontId="0" fillId="11" borderId="0" xfId="0" applyFill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6" fillId="3" borderId="0" xfId="0" applyFont="1" applyFill="1"/>
    <xf numFmtId="165" fontId="10" fillId="3" borderId="0" xfId="0" applyNumberFormat="1" applyFont="1" applyFill="1"/>
    <xf numFmtId="165" fontId="5" fillId="3" borderId="0" xfId="0" applyNumberFormat="1" applyFont="1" applyFill="1"/>
    <xf numFmtId="165" fontId="6" fillId="3" borderId="0" xfId="0" applyNumberFormat="1" applyFont="1" applyFill="1"/>
    <xf numFmtId="165" fontId="0" fillId="3" borderId="0" xfId="0" applyNumberFormat="1" applyFill="1"/>
    <xf numFmtId="0" fontId="7" fillId="3" borderId="0" xfId="0" applyFont="1" applyFill="1"/>
    <xf numFmtId="165" fontId="7" fillId="3" borderId="0" xfId="0" applyNumberFormat="1" applyFont="1" applyFill="1"/>
    <xf numFmtId="165" fontId="2" fillId="3" borderId="0" xfId="0" applyNumberFormat="1" applyFont="1" applyFill="1"/>
    <xf numFmtId="0" fontId="2" fillId="3" borderId="0" xfId="0" applyFont="1" applyFill="1"/>
    <xf numFmtId="1" fontId="5" fillId="0" borderId="0" xfId="0" applyNumberFormat="1" applyFont="1" applyAlignment="1">
      <alignment horizontal="center" vertical="center"/>
    </xf>
    <xf numFmtId="1" fontId="2" fillId="0" borderId="0" xfId="0" applyNumberFormat="1" applyFont="1" applyAlignment="1">
      <alignment horizontal="center" vertical="center"/>
    </xf>
    <xf numFmtId="0" fontId="0" fillId="5" borderId="0" xfId="0" applyFill="1" applyAlignment="1">
      <alignment vertical="center" textRotation="255"/>
    </xf>
    <xf numFmtId="0" fontId="15" fillId="0" borderId="0" xfId="0" applyFont="1"/>
    <xf numFmtId="0" fontId="16" fillId="0" borderId="0" xfId="0" applyFont="1"/>
    <xf numFmtId="0" fontId="17" fillId="0" borderId="0" xfId="0" applyFont="1"/>
    <xf numFmtId="0" fontId="18" fillId="0" borderId="0" xfId="0" applyFont="1"/>
    <xf numFmtId="0" fontId="9" fillId="0" borderId="0" xfId="0" applyFont="1"/>
    <xf numFmtId="165" fontId="11" fillId="0" borderId="0" xfId="0" applyNumberFormat="1" applyFont="1" applyAlignment="1">
      <alignment horizontal="left" vertical="center" wrapText="1"/>
    </xf>
    <xf numFmtId="165" fontId="14" fillId="12" borderId="0" xfId="0" applyNumberFormat="1" applyFont="1" applyFill="1" applyAlignment="1">
      <alignment horizontal="left" vertical="center" wrapText="1"/>
    </xf>
    <xf numFmtId="169" fontId="10" fillId="0" borderId="0" xfId="0" applyNumberFormat="1" applyFont="1" applyAlignment="1">
      <alignment vertical="center"/>
    </xf>
    <xf numFmtId="0" fontId="0" fillId="0" borderId="0" xfId="0" applyAlignment="1">
      <alignment wrapText="1"/>
    </xf>
    <xf numFmtId="0" fontId="22" fillId="12" borderId="0" xfId="0" applyFont="1" applyFill="1" applyAlignment="1">
      <alignment horizontal="center" vertical="center"/>
    </xf>
    <xf numFmtId="9" fontId="0" fillId="2" borderId="0" xfId="2" applyFont="1" applyFill="1" applyAlignment="1">
      <alignment horizontal="center" vertical="center" wrapText="1"/>
    </xf>
    <xf numFmtId="169" fontId="23" fillId="0" borderId="0" xfId="0" applyNumberFormat="1" applyFont="1" applyAlignment="1">
      <alignment horizontal="center" vertical="center"/>
    </xf>
    <xf numFmtId="0" fontId="25" fillId="0" borderId="0" xfId="0" applyFont="1" applyAlignment="1">
      <alignment horizontal="center" vertical="center" wrapText="1"/>
    </xf>
    <xf numFmtId="167" fontId="10" fillId="0" borderId="0" xfId="0" applyNumberFormat="1" applyFont="1"/>
    <xf numFmtId="167" fontId="0" fillId="0" borderId="0" xfId="0" applyNumberFormat="1"/>
    <xf numFmtId="167" fontId="0" fillId="3" borderId="0" xfId="0" applyNumberFormat="1" applyFill="1"/>
    <xf numFmtId="0" fontId="27" fillId="0" borderId="0" xfId="0" applyFont="1"/>
    <xf numFmtId="1" fontId="27" fillId="0" borderId="0" xfId="0" applyNumberFormat="1" applyFont="1" applyAlignment="1">
      <alignment horizontal="center" vertical="center"/>
    </xf>
    <xf numFmtId="0" fontId="22" fillId="0" borderId="0" xfId="0" applyFont="1" applyAlignment="1">
      <alignment vertical="center"/>
    </xf>
    <xf numFmtId="0" fontId="28" fillId="0" borderId="0" xfId="0" applyFont="1" applyAlignment="1">
      <alignment horizontal="center" vertical="center" wrapText="1"/>
    </xf>
    <xf numFmtId="167" fontId="29" fillId="0" borderId="0" xfId="0" applyNumberFormat="1" applyFont="1" applyAlignment="1">
      <alignment vertical="center"/>
    </xf>
    <xf numFmtId="0" fontId="30" fillId="12" borderId="0" xfId="0" applyFont="1" applyFill="1" applyAlignment="1">
      <alignment horizontal="center" vertical="center"/>
    </xf>
    <xf numFmtId="0" fontId="23" fillId="12" borderId="0" xfId="0" applyFont="1" applyFill="1" applyAlignment="1">
      <alignment horizontal="center" vertical="center"/>
    </xf>
    <xf numFmtId="0" fontId="4" fillId="0" borderId="0" xfId="0" applyFont="1"/>
    <xf numFmtId="168" fontId="23" fillId="12" borderId="0" xfId="2" applyNumberFormat="1" applyFont="1" applyFill="1" applyAlignment="1">
      <alignment horizontal="center" vertical="center"/>
    </xf>
    <xf numFmtId="0" fontId="0" fillId="13" borderId="0" xfId="0" applyFill="1" applyAlignment="1">
      <alignment horizontal="center" vertical="center" wrapText="1"/>
    </xf>
    <xf numFmtId="167" fontId="10" fillId="3" borderId="0" xfId="0" applyNumberFormat="1" applyFont="1" applyFill="1"/>
    <xf numFmtId="1" fontId="5" fillId="3" borderId="0" xfId="0" applyNumberFormat="1" applyFont="1" applyFill="1" applyAlignment="1">
      <alignment horizontal="center" vertical="center"/>
    </xf>
    <xf numFmtId="0" fontId="3" fillId="2" borderId="0" xfId="0" applyFont="1" applyFill="1"/>
    <xf numFmtId="0" fontId="14" fillId="2" borderId="0" xfId="0" applyFont="1" applyFill="1" applyAlignment="1">
      <alignment horizontal="left" vertical="center"/>
    </xf>
    <xf numFmtId="0" fontId="10" fillId="2" borderId="0" xfId="0" applyFont="1" applyFill="1" applyAlignment="1">
      <alignment horizontal="center" vertical="center"/>
    </xf>
    <xf numFmtId="170" fontId="23" fillId="13" borderId="5" xfId="0" applyNumberFormat="1" applyFont="1" applyFill="1" applyBorder="1" applyAlignment="1">
      <alignment horizontal="center" vertical="center"/>
    </xf>
    <xf numFmtId="170" fontId="23" fillId="9" borderId="7" xfId="0" applyNumberFormat="1" applyFont="1" applyFill="1" applyBorder="1" applyAlignment="1">
      <alignment horizontal="center" vertical="center"/>
    </xf>
    <xf numFmtId="9" fontId="0" fillId="0" borderId="0" xfId="2" applyFont="1"/>
    <xf numFmtId="0" fontId="0" fillId="12" borderId="0" xfId="0" applyFill="1"/>
    <xf numFmtId="1" fontId="0" fillId="12" borderId="0" xfId="0" applyNumberFormat="1" applyFill="1"/>
    <xf numFmtId="9" fontId="0" fillId="12" borderId="0" xfId="2" applyFont="1" applyFill="1"/>
    <xf numFmtId="0" fontId="0" fillId="14" borderId="0" xfId="0" applyFill="1"/>
    <xf numFmtId="0" fontId="0" fillId="14" borderId="0" xfId="0" applyFill="1" applyAlignment="1">
      <alignment horizontal="center"/>
    </xf>
    <xf numFmtId="0" fontId="0" fillId="14" borderId="0" xfId="0" applyFill="1" applyAlignment="1">
      <alignment horizontal="center" vertical="center"/>
    </xf>
    <xf numFmtId="0" fontId="0" fillId="14" borderId="0" xfId="0" applyFill="1" applyAlignment="1">
      <alignment horizontal="center" vertical="center" wrapText="1"/>
    </xf>
    <xf numFmtId="0" fontId="0" fillId="2" borderId="0" xfId="0" applyFill="1"/>
    <xf numFmtId="0" fontId="31" fillId="0" borderId="0" xfId="0" applyFont="1" applyAlignment="1">
      <alignment vertical="center"/>
    </xf>
    <xf numFmtId="1" fontId="0" fillId="12" borderId="0" xfId="2" applyNumberFormat="1" applyFont="1" applyFill="1"/>
    <xf numFmtId="9" fontId="0" fillId="12" borderId="0" xfId="0" applyNumberFormat="1" applyFill="1"/>
    <xf numFmtId="0" fontId="0" fillId="12" borderId="1" xfId="0" applyFill="1" applyBorder="1" applyAlignment="1">
      <alignment horizontal="center" vertical="center"/>
    </xf>
    <xf numFmtId="0" fontId="0" fillId="12" borderId="1" xfId="0" applyFill="1" applyBorder="1"/>
    <xf numFmtId="1" fontId="0" fillId="12" borderId="1" xfId="0" applyNumberFormat="1" applyFill="1" applyBorder="1"/>
    <xf numFmtId="9" fontId="0" fillId="12" borderId="1" xfId="2" applyFont="1" applyFill="1" applyBorder="1"/>
    <xf numFmtId="165" fontId="8" fillId="13" borderId="0" xfId="0" applyNumberFormat="1" applyFont="1" applyFill="1"/>
    <xf numFmtId="167" fontId="0" fillId="9" borderId="0" xfId="0" applyNumberFormat="1" applyFill="1"/>
    <xf numFmtId="165" fontId="10" fillId="9" borderId="0" xfId="0" applyNumberFormat="1" applyFont="1" applyFill="1"/>
    <xf numFmtId="165" fontId="0" fillId="9" borderId="0" xfId="0" applyNumberFormat="1" applyFill="1"/>
    <xf numFmtId="165" fontId="22" fillId="13" borderId="0" xfId="0" applyNumberFormat="1" applyFont="1" applyFill="1"/>
    <xf numFmtId="167" fontId="0" fillId="0" borderId="0" xfId="0" applyNumberFormat="1" applyFill="1"/>
    <xf numFmtId="0" fontId="0" fillId="0" borderId="0" xfId="0" applyFill="1"/>
    <xf numFmtId="165" fontId="8" fillId="9" borderId="0" xfId="0" applyNumberFormat="1" applyFont="1" applyFill="1"/>
    <xf numFmtId="165" fontId="8" fillId="3" borderId="0" xfId="0" applyNumberFormat="1" applyFont="1" applyFill="1"/>
    <xf numFmtId="167" fontId="8" fillId="0" borderId="0" xfId="0" applyNumberFormat="1" applyFont="1"/>
    <xf numFmtId="165" fontId="8" fillId="0" borderId="0" xfId="0" applyNumberFormat="1" applyFont="1"/>
    <xf numFmtId="167" fontId="8" fillId="9" borderId="0" xfId="0" applyNumberFormat="1" applyFont="1" applyFill="1"/>
    <xf numFmtId="167" fontId="8" fillId="3" borderId="0" xfId="0" applyNumberFormat="1" applyFont="1" applyFill="1"/>
    <xf numFmtId="0" fontId="9" fillId="0" borderId="1" xfId="0" applyFont="1" applyFill="1" applyBorder="1" applyAlignment="1">
      <alignment horizontal="left" vertical="center"/>
    </xf>
    <xf numFmtId="165" fontId="5" fillId="2" borderId="0" xfId="0" applyNumberFormat="1" applyFont="1" applyFill="1" applyAlignment="1">
      <alignment horizontal="center" vertical="center"/>
    </xf>
    <xf numFmtId="165" fontId="5" fillId="2" borderId="0" xfId="0" applyNumberFormat="1" applyFont="1" applyFill="1"/>
    <xf numFmtId="165" fontId="0" fillId="2" borderId="0" xfId="0" applyNumberFormat="1" applyFill="1"/>
    <xf numFmtId="170" fontId="23" fillId="13" borderId="6" xfId="0" applyNumberFormat="1" applyFont="1" applyFill="1" applyBorder="1" applyAlignment="1">
      <alignment horizontal="center" vertical="center"/>
    </xf>
    <xf numFmtId="170" fontId="23" fillId="9" borderId="8" xfId="0" applyNumberFormat="1" applyFont="1" applyFill="1" applyBorder="1" applyAlignment="1">
      <alignment horizontal="center" vertical="center"/>
    </xf>
    <xf numFmtId="0" fontId="9" fillId="0" borderId="1" xfId="0" applyFont="1" applyFill="1" applyBorder="1" applyAlignment="1">
      <alignment horizontal="right" vertical="center"/>
    </xf>
    <xf numFmtId="0" fontId="31" fillId="14" borderId="0" xfId="0" applyFont="1" applyFill="1" applyAlignment="1">
      <alignment horizontal="center"/>
    </xf>
    <xf numFmtId="0" fontId="0" fillId="9" borderId="0" xfId="0" applyFill="1" applyBorder="1"/>
    <xf numFmtId="0" fontId="0" fillId="9" borderId="16" xfId="0" applyFill="1" applyBorder="1"/>
    <xf numFmtId="0" fontId="0" fillId="9" borderId="18" xfId="0" applyFill="1" applyBorder="1"/>
    <xf numFmtId="0" fontId="0" fillId="9" borderId="0" xfId="0" applyFill="1" applyBorder="1" applyAlignment="1">
      <alignment horizontal="center"/>
    </xf>
    <xf numFmtId="0" fontId="0" fillId="9" borderId="19" xfId="0" applyFill="1" applyBorder="1"/>
    <xf numFmtId="0" fontId="0" fillId="9" borderId="20" xfId="0" applyFill="1" applyBorder="1"/>
    <xf numFmtId="0" fontId="0" fillId="9" borderId="20" xfId="0" applyFill="1" applyBorder="1" applyAlignment="1">
      <alignment horizontal="center"/>
    </xf>
    <xf numFmtId="0" fontId="0" fillId="9" borderId="21" xfId="0" applyFill="1" applyBorder="1"/>
    <xf numFmtId="0" fontId="0" fillId="3" borderId="1" xfId="0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0" fillId="3" borderId="0" xfId="0" applyFill="1" applyBorder="1" applyAlignment="1">
      <alignment horizontal="center" vertical="center"/>
    </xf>
    <xf numFmtId="0" fontId="23" fillId="3" borderId="1" xfId="0" applyFont="1" applyFill="1" applyBorder="1" applyAlignment="1">
      <alignment horizontal="center" vertical="center" wrapText="1"/>
    </xf>
    <xf numFmtId="0" fontId="0" fillId="3" borderId="0" xfId="0" applyFill="1" applyBorder="1" applyAlignment="1">
      <alignment horizontal="center" vertical="center" wrapText="1"/>
    </xf>
    <xf numFmtId="0" fontId="0" fillId="3" borderId="0" xfId="0" applyFill="1" applyBorder="1"/>
    <xf numFmtId="0" fontId="35" fillId="14" borderId="1" xfId="0" applyFont="1" applyFill="1" applyBorder="1" applyAlignment="1" applyProtection="1">
      <alignment horizontal="left" vertical="center"/>
      <protection locked="0"/>
    </xf>
    <xf numFmtId="0" fontId="32" fillId="14" borderId="1" xfId="0" applyFont="1" applyFill="1" applyBorder="1" applyAlignment="1" applyProtection="1">
      <alignment horizontal="left" vertical="center" wrapText="1"/>
      <protection locked="0"/>
    </xf>
    <xf numFmtId="0" fontId="32" fillId="14" borderId="1" xfId="0" applyFont="1" applyFill="1" applyBorder="1" applyAlignment="1" applyProtection="1">
      <alignment horizontal="left" vertical="center"/>
      <protection locked="0"/>
    </xf>
    <xf numFmtId="0" fontId="35" fillId="14" borderId="1" xfId="0" applyFont="1" applyFill="1" applyBorder="1" applyAlignment="1" applyProtection="1">
      <alignment horizontal="left" vertical="center" wrapText="1"/>
      <protection locked="0"/>
    </xf>
    <xf numFmtId="0" fontId="15" fillId="3" borderId="0" xfId="0" applyFont="1" applyFill="1" applyAlignment="1">
      <alignment horizontal="left" vertical="center"/>
    </xf>
    <xf numFmtId="0" fontId="15" fillId="3" borderId="0" xfId="0" applyFont="1" applyFill="1"/>
    <xf numFmtId="0" fontId="26" fillId="3" borderId="1" xfId="0" applyFont="1" applyFill="1" applyBorder="1"/>
    <xf numFmtId="0" fontId="24" fillId="3" borderId="0" xfId="0" applyFont="1" applyFill="1" applyAlignment="1">
      <alignment horizontal="left" vertical="center"/>
    </xf>
    <xf numFmtId="0" fontId="15" fillId="3" borderId="0" xfId="0" applyFont="1" applyFill="1" applyAlignment="1">
      <alignment horizontal="right" vertical="center"/>
    </xf>
    <xf numFmtId="0" fontId="26" fillId="3" borderId="0" xfId="0" applyFont="1" applyFill="1"/>
    <xf numFmtId="0" fontId="16" fillId="3" borderId="1" xfId="0" applyFont="1" applyFill="1" applyBorder="1"/>
    <xf numFmtId="0" fontId="17" fillId="3" borderId="1" xfId="0" applyFont="1" applyFill="1" applyBorder="1"/>
    <xf numFmtId="0" fontId="18" fillId="3" borderId="1" xfId="0" applyFont="1" applyFill="1" applyBorder="1"/>
    <xf numFmtId="0" fontId="15" fillId="3" borderId="1" xfId="0" applyFont="1" applyFill="1" applyBorder="1"/>
    <xf numFmtId="0" fontId="9" fillId="3" borderId="1" xfId="0" applyFont="1" applyFill="1" applyBorder="1"/>
    <xf numFmtId="0" fontId="2" fillId="3" borderId="1" xfId="0" applyFont="1" applyFill="1" applyBorder="1"/>
    <xf numFmtId="0" fontId="19" fillId="3" borderId="1" xfId="0" applyFont="1" applyFill="1" applyBorder="1"/>
    <xf numFmtId="0" fontId="20" fillId="3" borderId="1" xfId="0" applyFont="1" applyFill="1" applyBorder="1"/>
    <xf numFmtId="0" fontId="15" fillId="14" borderId="0" xfId="0" applyFont="1" applyFill="1"/>
    <xf numFmtId="0" fontId="26" fillId="14" borderId="0" xfId="0" applyFont="1" applyFill="1"/>
    <xf numFmtId="0" fontId="3" fillId="14" borderId="0" xfId="0" applyFont="1" applyFill="1" applyBorder="1" applyAlignment="1" applyProtection="1">
      <alignment vertical="center"/>
    </xf>
    <xf numFmtId="0" fontId="3" fillId="3" borderId="0" xfId="0" applyFont="1" applyFill="1" applyBorder="1" applyAlignment="1" applyProtection="1">
      <alignment vertical="center"/>
    </xf>
    <xf numFmtId="0" fontId="36" fillId="3" borderId="0" xfId="0" applyFont="1" applyFill="1" applyBorder="1" applyAlignment="1" applyProtection="1">
      <alignment horizontal="center" vertical="center"/>
    </xf>
    <xf numFmtId="0" fontId="22" fillId="14" borderId="0" xfId="0" applyFont="1" applyFill="1" applyBorder="1" applyAlignment="1" applyProtection="1">
      <alignment vertical="center"/>
    </xf>
    <xf numFmtId="0" fontId="0" fillId="14" borderId="0" xfId="0" applyFont="1" applyFill="1" applyBorder="1" applyProtection="1"/>
    <xf numFmtId="0" fontId="0" fillId="3" borderId="0" xfId="0" applyFont="1" applyFill="1" applyBorder="1" applyProtection="1"/>
    <xf numFmtId="0" fontId="28" fillId="3" borderId="0" xfId="0" applyFont="1" applyFill="1" applyBorder="1" applyAlignment="1" applyProtection="1">
      <alignment horizontal="center" vertical="center"/>
    </xf>
    <xf numFmtId="0" fontId="0" fillId="3" borderId="0" xfId="0" applyFont="1" applyFill="1" applyBorder="1" applyAlignment="1" applyProtection="1">
      <alignment horizontal="left"/>
    </xf>
    <xf numFmtId="0" fontId="0" fillId="14" borderId="0" xfId="0" applyFont="1" applyFill="1" applyBorder="1" applyAlignment="1" applyProtection="1">
      <alignment horizontal="left"/>
    </xf>
    <xf numFmtId="0" fontId="8" fillId="14" borderId="0" xfId="0" applyFont="1" applyFill="1" applyBorder="1" applyProtection="1"/>
    <xf numFmtId="0" fontId="55" fillId="3" borderId="0" xfId="0" applyFont="1" applyFill="1" applyBorder="1" applyProtection="1"/>
    <xf numFmtId="171" fontId="54" fillId="3" borderId="1" xfId="0" applyNumberFormat="1" applyFont="1" applyFill="1" applyBorder="1" applyAlignment="1" applyProtection="1">
      <alignment horizontal="center" vertical="center"/>
    </xf>
    <xf numFmtId="0" fontId="22" fillId="3" borderId="0" xfId="0" applyFont="1" applyFill="1" applyBorder="1" applyAlignment="1" applyProtection="1">
      <alignment horizontal="left" vertical="center"/>
    </xf>
    <xf numFmtId="0" fontId="8" fillId="3" borderId="0" xfId="0" applyFont="1" applyFill="1" applyBorder="1" applyAlignment="1" applyProtection="1">
      <alignment horizontal="left" vertical="center"/>
    </xf>
    <xf numFmtId="0" fontId="36" fillId="3" borderId="1" xfId="0" applyFont="1" applyFill="1" applyBorder="1" applyAlignment="1" applyProtection="1">
      <alignment horizontal="center" vertical="center"/>
    </xf>
    <xf numFmtId="0" fontId="53" fillId="3" borderId="1" xfId="0" applyFont="1" applyFill="1" applyBorder="1" applyAlignment="1" applyProtection="1">
      <alignment horizontal="left" vertical="center"/>
    </xf>
    <xf numFmtId="0" fontId="46" fillId="3" borderId="1" xfId="0" applyFont="1" applyFill="1" applyBorder="1" applyAlignment="1" applyProtection="1">
      <alignment horizontal="center" vertical="center" wrapText="1"/>
    </xf>
    <xf numFmtId="0" fontId="47" fillId="3" borderId="1" xfId="0" applyFont="1" applyFill="1" applyBorder="1" applyAlignment="1" applyProtection="1">
      <alignment horizontal="center" vertical="center" wrapText="1"/>
    </xf>
    <xf numFmtId="1" fontId="50" fillId="14" borderId="0" xfId="0" applyNumberFormat="1" applyFont="1" applyFill="1" applyBorder="1" applyAlignment="1" applyProtection="1">
      <alignment horizontal="left" vertical="center"/>
    </xf>
    <xf numFmtId="0" fontId="58" fillId="3" borderId="0" xfId="0" applyFont="1" applyFill="1" applyBorder="1" applyAlignment="1" applyProtection="1">
      <alignment horizontal="center" vertical="center"/>
    </xf>
    <xf numFmtId="0" fontId="52" fillId="3" borderId="0" xfId="0" applyFont="1" applyFill="1" applyBorder="1" applyAlignment="1" applyProtection="1">
      <alignment horizontal="center" vertical="center"/>
    </xf>
    <xf numFmtId="1" fontId="4" fillId="14" borderId="0" xfId="0" applyNumberFormat="1" applyFont="1" applyFill="1" applyBorder="1" applyAlignment="1" applyProtection="1">
      <alignment horizontal="left" vertical="center"/>
    </xf>
    <xf numFmtId="0" fontId="0" fillId="14" borderId="0" xfId="0" applyFont="1" applyFill="1" applyBorder="1" applyAlignment="1" applyProtection="1">
      <alignment vertical="center" wrapText="1"/>
    </xf>
    <xf numFmtId="0" fontId="0" fillId="3" borderId="0" xfId="0" applyFont="1" applyFill="1" applyBorder="1" applyAlignment="1" applyProtection="1">
      <alignment vertical="center" wrapText="1"/>
    </xf>
    <xf numFmtId="0" fontId="0" fillId="14" borderId="0" xfId="0" applyFont="1" applyFill="1" applyBorder="1" applyAlignment="1" applyProtection="1">
      <alignment horizontal="left" vertical="center" wrapText="1"/>
    </xf>
    <xf numFmtId="0" fontId="8" fillId="3" borderId="0" xfId="0" applyFont="1" applyFill="1" applyBorder="1" applyProtection="1"/>
    <xf numFmtId="0" fontId="8" fillId="14" borderId="0" xfId="0" applyFont="1" applyFill="1" applyBorder="1" applyAlignment="1" applyProtection="1">
      <alignment horizontal="left"/>
    </xf>
    <xf numFmtId="0" fontId="8" fillId="3" borderId="0" xfId="0" applyFont="1" applyFill="1" applyBorder="1" applyAlignment="1" applyProtection="1">
      <alignment horizontal="right"/>
    </xf>
    <xf numFmtId="0" fontId="8" fillId="3" borderId="0" xfId="0" applyFont="1" applyFill="1" applyBorder="1" applyAlignment="1" applyProtection="1">
      <alignment horizontal="left"/>
    </xf>
    <xf numFmtId="0" fontId="49" fillId="3" borderId="0" xfId="0" applyFont="1" applyFill="1" applyBorder="1" applyAlignment="1" applyProtection="1">
      <alignment horizontal="left" vertical="center" wrapText="1"/>
    </xf>
    <xf numFmtId="0" fontId="0" fillId="3" borderId="1" xfId="0" applyFont="1" applyFill="1" applyBorder="1" applyAlignment="1" applyProtection="1">
      <alignment horizontal="center" vertical="center"/>
    </xf>
    <xf numFmtId="0" fontId="0" fillId="3" borderId="2" xfId="0" applyFont="1" applyFill="1" applyBorder="1" applyAlignment="1" applyProtection="1">
      <alignment horizontal="center" vertical="center"/>
    </xf>
    <xf numFmtId="0" fontId="55" fillId="3" borderId="0" xfId="0" applyFont="1" applyFill="1" applyBorder="1" applyAlignment="1" applyProtection="1">
      <alignment horizontal="left"/>
    </xf>
    <xf numFmtId="0" fontId="49" fillId="3" borderId="0" xfId="0" applyFont="1" applyFill="1" applyBorder="1" applyAlignment="1" applyProtection="1">
      <alignment horizontal="left" vertical="center"/>
    </xf>
    <xf numFmtId="0" fontId="51" fillId="3" borderId="0" xfId="0" applyFont="1" applyFill="1" applyBorder="1" applyAlignment="1" applyProtection="1">
      <alignment horizontal="center" vertical="center"/>
    </xf>
    <xf numFmtId="0" fontId="8" fillId="3" borderId="0" xfId="0" applyFont="1" applyFill="1" applyBorder="1" applyAlignment="1" applyProtection="1">
      <alignment horizontal="right" vertical="center"/>
    </xf>
    <xf numFmtId="1" fontId="40" fillId="3" borderId="1" xfId="0" applyNumberFormat="1" applyFont="1" applyFill="1" applyBorder="1" applyAlignment="1">
      <alignment horizontal="center" vertical="center"/>
    </xf>
    <xf numFmtId="1" fontId="54" fillId="3" borderId="1" xfId="0" applyNumberFormat="1" applyFont="1" applyFill="1" applyBorder="1" applyAlignment="1">
      <alignment horizontal="center" vertical="center"/>
    </xf>
    <xf numFmtId="0" fontId="59" fillId="3" borderId="17" xfId="0" applyFont="1" applyFill="1" applyBorder="1" applyAlignment="1">
      <alignment horizontal="left" vertical="center"/>
    </xf>
    <xf numFmtId="0" fontId="59" fillId="3" borderId="1" xfId="0" applyFont="1" applyFill="1" applyBorder="1" applyAlignment="1">
      <alignment vertical="center"/>
    </xf>
    <xf numFmtId="0" fontId="54" fillId="3" borderId="17" xfId="0" applyFont="1" applyFill="1" applyBorder="1" applyAlignment="1">
      <alignment vertical="center"/>
    </xf>
    <xf numFmtId="0" fontId="54" fillId="3" borderId="1" xfId="0" applyFont="1" applyFill="1" applyBorder="1" applyAlignment="1">
      <alignment vertical="center"/>
    </xf>
    <xf numFmtId="0" fontId="49" fillId="3" borderId="1" xfId="0" applyFont="1" applyFill="1" applyBorder="1" applyAlignment="1" applyProtection="1">
      <alignment horizontal="left" vertical="center" wrapText="1"/>
    </xf>
    <xf numFmtId="0" fontId="32" fillId="3" borderId="1" xfId="0" applyFont="1" applyFill="1" applyBorder="1" applyAlignment="1" applyProtection="1">
      <alignment horizontal="left" vertical="center" wrapText="1"/>
    </xf>
    <xf numFmtId="1" fontId="60" fillId="3" borderId="1" xfId="0" applyNumberFormat="1" applyFont="1" applyFill="1" applyBorder="1" applyAlignment="1">
      <alignment horizontal="center" vertical="center"/>
    </xf>
    <xf numFmtId="1" fontId="61" fillId="3" borderId="1" xfId="0" applyNumberFormat="1" applyFont="1" applyFill="1" applyBorder="1" applyAlignment="1">
      <alignment horizontal="center" vertical="center"/>
    </xf>
    <xf numFmtId="0" fontId="19" fillId="3" borderId="2" xfId="0" applyFont="1" applyFill="1" applyBorder="1"/>
    <xf numFmtId="0" fontId="15" fillId="3" borderId="23" xfId="0" applyFont="1" applyFill="1" applyBorder="1" applyAlignment="1">
      <alignment horizontal="left" vertical="center"/>
    </xf>
    <xf numFmtId="0" fontId="15" fillId="3" borderId="23" xfId="0" applyFont="1" applyFill="1" applyBorder="1"/>
    <xf numFmtId="0" fontId="15" fillId="3" borderId="0" xfId="0" applyFont="1" applyFill="1" applyBorder="1" applyAlignment="1">
      <alignment horizontal="left" vertical="center"/>
    </xf>
    <xf numFmtId="0" fontId="15" fillId="3" borderId="0" xfId="0" applyFont="1" applyFill="1" applyBorder="1"/>
    <xf numFmtId="0" fontId="17" fillId="3" borderId="2" xfId="0" applyFont="1" applyFill="1" applyBorder="1"/>
    <xf numFmtId="0" fontId="15" fillId="3" borderId="24" xfId="0" applyFont="1" applyFill="1" applyBorder="1"/>
    <xf numFmtId="0" fontId="15" fillId="3" borderId="4" xfId="0" applyFont="1" applyFill="1" applyBorder="1" applyAlignment="1">
      <alignment horizontal="left" vertical="center"/>
    </xf>
    <xf numFmtId="0" fontId="24" fillId="3" borderId="4" xfId="0" applyFont="1" applyFill="1" applyBorder="1" applyAlignment="1">
      <alignment horizontal="left" vertical="center"/>
    </xf>
    <xf numFmtId="0" fontId="8" fillId="2" borderId="1" xfId="0" applyFont="1" applyFill="1" applyBorder="1" applyAlignment="1">
      <alignment horizontal="right" vertical="center" wrapText="1"/>
    </xf>
    <xf numFmtId="0" fontId="0" fillId="2" borderId="10" xfId="0" applyFill="1" applyBorder="1"/>
    <xf numFmtId="0" fontId="0" fillId="2" borderId="9" xfId="0" applyFill="1" applyBorder="1"/>
    <xf numFmtId="9" fontId="8" fillId="2" borderId="1" xfId="2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left" vertical="center"/>
    </xf>
    <xf numFmtId="0" fontId="0" fillId="13" borderId="1" xfId="0" applyFill="1" applyBorder="1" applyAlignment="1">
      <alignment horizontal="center" vertical="center" wrapText="1"/>
    </xf>
    <xf numFmtId="165" fontId="0" fillId="0" borderId="1" xfId="1" applyNumberFormat="1" applyFont="1" applyBorder="1"/>
    <xf numFmtId="0" fontId="0" fillId="0" borderId="1" xfId="0" applyBorder="1"/>
    <xf numFmtId="0" fontId="3" fillId="2" borderId="1" xfId="0" applyFont="1" applyFill="1" applyBorder="1"/>
    <xf numFmtId="165" fontId="3" fillId="2" borderId="1" xfId="1" applyNumberFormat="1" applyFont="1" applyFill="1" applyBorder="1"/>
    <xf numFmtId="0" fontId="9" fillId="9" borderId="1" xfId="0" applyFont="1" applyFill="1" applyBorder="1" applyAlignment="1">
      <alignment horizontal="left" vertical="center"/>
    </xf>
    <xf numFmtId="170" fontId="10" fillId="0" borderId="1" xfId="0" applyNumberFormat="1" applyFont="1" applyBorder="1" applyAlignment="1">
      <alignment horizontal="center" vertical="center"/>
    </xf>
    <xf numFmtId="0" fontId="0" fillId="9" borderId="1" xfId="0" applyFill="1" applyBorder="1" applyAlignment="1">
      <alignment horizontal="center" vertical="center" wrapText="1"/>
    </xf>
    <xf numFmtId="165" fontId="0" fillId="0" borderId="1" xfId="0" applyNumberFormat="1" applyBorder="1"/>
    <xf numFmtId="165" fontId="3" fillId="2" borderId="1" xfId="0" applyNumberFormat="1" applyFont="1" applyFill="1" applyBorder="1"/>
    <xf numFmtId="166" fontId="10" fillId="0" borderId="1" xfId="0" applyNumberFormat="1" applyFont="1" applyBorder="1" applyAlignment="1">
      <alignment horizontal="center" vertical="center"/>
    </xf>
    <xf numFmtId="0" fontId="31" fillId="12" borderId="1" xfId="0" applyFont="1" applyFill="1" applyBorder="1" applyAlignment="1">
      <alignment horizontal="center" vertical="center" wrapText="1"/>
    </xf>
    <xf numFmtId="0" fontId="8" fillId="12" borderId="1" xfId="0" applyFont="1" applyFill="1" applyBorder="1"/>
    <xf numFmtId="1" fontId="8" fillId="12" borderId="1" xfId="0" applyNumberFormat="1" applyFont="1" applyFill="1" applyBorder="1"/>
    <xf numFmtId="0" fontId="3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3" fillId="0" borderId="1" xfId="0" applyFont="1" applyBorder="1"/>
    <xf numFmtId="0" fontId="0" fillId="0" borderId="0" xfId="0" applyBorder="1"/>
    <xf numFmtId="0" fontId="0" fillId="2" borderId="12" xfId="0" applyFill="1" applyBorder="1" applyAlignment="1">
      <alignment horizontal="center" vertical="center"/>
    </xf>
    <xf numFmtId="0" fontId="0" fillId="14" borderId="11" xfId="0" applyFill="1" applyBorder="1"/>
    <xf numFmtId="0" fontId="0" fillId="14" borderId="12" xfId="0" applyFill="1" applyBorder="1"/>
    <xf numFmtId="0" fontId="0" fillId="14" borderId="12" xfId="0" applyFill="1" applyBorder="1" applyAlignment="1">
      <alignment horizontal="center" vertical="center"/>
    </xf>
    <xf numFmtId="0" fontId="0" fillId="14" borderId="13" xfId="0" applyFill="1" applyBorder="1"/>
    <xf numFmtId="0" fontId="0" fillId="14" borderId="18" xfId="0" applyFill="1" applyBorder="1" applyAlignment="1">
      <alignment horizontal="center" vertical="center"/>
    </xf>
    <xf numFmtId="0" fontId="0" fillId="14" borderId="0" xfId="0" applyFill="1" applyBorder="1"/>
    <xf numFmtId="0" fontId="0" fillId="14" borderId="0" xfId="0" applyFill="1" applyBorder="1" applyAlignment="1">
      <alignment horizontal="center" vertical="center"/>
    </xf>
    <xf numFmtId="0" fontId="0" fillId="14" borderId="16" xfId="0" applyFill="1" applyBorder="1"/>
    <xf numFmtId="0" fontId="0" fillId="14" borderId="17" xfId="0" applyNumberFormat="1" applyFill="1" applyBorder="1" applyAlignment="1">
      <alignment horizontal="center" vertical="center"/>
    </xf>
    <xf numFmtId="9" fontId="0" fillId="14" borderId="1" xfId="2" applyFont="1" applyFill="1" applyBorder="1" applyAlignment="1">
      <alignment horizontal="center" vertical="center"/>
    </xf>
    <xf numFmtId="0" fontId="0" fillId="14" borderId="25" xfId="0" applyNumberFormat="1" applyFill="1" applyBorder="1" applyAlignment="1">
      <alignment horizontal="center" vertical="center"/>
    </xf>
    <xf numFmtId="9" fontId="0" fillId="14" borderId="26" xfId="2" applyFont="1" applyFill="1" applyBorder="1" applyAlignment="1">
      <alignment horizontal="center" vertical="center"/>
    </xf>
    <xf numFmtId="0" fontId="0" fillId="14" borderId="20" xfId="0" applyFill="1" applyBorder="1"/>
    <xf numFmtId="0" fontId="0" fillId="14" borderId="20" xfId="0" applyFill="1" applyBorder="1" applyAlignment="1">
      <alignment horizontal="center" vertical="center"/>
    </xf>
    <xf numFmtId="0" fontId="0" fillId="14" borderId="21" xfId="0" applyFill="1" applyBorder="1"/>
    <xf numFmtId="0" fontId="0" fillId="14" borderId="1" xfId="0" applyFill="1" applyBorder="1"/>
    <xf numFmtId="0" fontId="0" fillId="14" borderId="26" xfId="0" applyFill="1" applyBorder="1"/>
    <xf numFmtId="0" fontId="0" fillId="15" borderId="0" xfId="0" applyFont="1" applyFill="1" applyBorder="1" applyProtection="1"/>
    <xf numFmtId="0" fontId="45" fillId="15" borderId="0" xfId="0" applyFont="1" applyFill="1" applyBorder="1" applyAlignment="1" applyProtection="1">
      <alignment horizontal="center" vertical="center"/>
    </xf>
    <xf numFmtId="0" fontId="0" fillId="15" borderId="0" xfId="0" applyFont="1" applyFill="1" applyBorder="1" applyAlignment="1" applyProtection="1">
      <alignment vertical="center"/>
    </xf>
    <xf numFmtId="0" fontId="0" fillId="15" borderId="0" xfId="0" applyFont="1" applyFill="1" applyBorder="1" applyAlignment="1" applyProtection="1">
      <alignment vertical="center" wrapText="1"/>
    </xf>
    <xf numFmtId="0" fontId="8" fillId="15" borderId="0" xfId="0" applyFont="1" applyFill="1" applyBorder="1" applyProtection="1"/>
    <xf numFmtId="0" fontId="49" fillId="15" borderId="0" xfId="0" applyFont="1" applyFill="1" applyBorder="1" applyAlignment="1" applyProtection="1">
      <alignment horizontal="left" vertical="center" wrapText="1"/>
    </xf>
    <xf numFmtId="0" fontId="8" fillId="15" borderId="0" xfId="0" applyFont="1" applyFill="1" applyBorder="1" applyAlignment="1" applyProtection="1">
      <alignment horizontal="left"/>
    </xf>
    <xf numFmtId="0" fontId="0" fillId="15" borderId="0" xfId="0" applyFont="1" applyFill="1" applyBorder="1" applyAlignment="1" applyProtection="1">
      <alignment horizontal="left"/>
    </xf>
    <xf numFmtId="165" fontId="11" fillId="0" borderId="0" xfId="0" applyNumberFormat="1" applyFont="1" applyAlignment="1">
      <alignment horizontal="center" vertical="center"/>
    </xf>
    <xf numFmtId="0" fontId="54" fillId="14" borderId="1" xfId="0" applyFont="1" applyFill="1" applyBorder="1" applyAlignment="1" applyProtection="1">
      <alignment horizontal="center" vertical="center"/>
      <protection locked="0"/>
    </xf>
    <xf numFmtId="9" fontId="54" fillId="14" borderId="1" xfId="2" applyFont="1" applyFill="1" applyBorder="1" applyAlignment="1" applyProtection="1">
      <alignment horizontal="center" vertical="center"/>
      <protection locked="0"/>
    </xf>
    <xf numFmtId="0" fontId="48" fillId="14" borderId="1" xfId="0" applyFont="1" applyFill="1" applyBorder="1" applyAlignment="1" applyProtection="1">
      <alignment horizontal="left" vertical="center"/>
      <protection locked="0"/>
    </xf>
    <xf numFmtId="0" fontId="49" fillId="14" borderId="1" xfId="0" applyFont="1" applyFill="1" applyBorder="1" applyAlignment="1" applyProtection="1">
      <alignment horizontal="left" vertical="center" wrapText="1"/>
      <protection locked="0"/>
    </xf>
    <xf numFmtId="0" fontId="49" fillId="14" borderId="1" xfId="0" applyFont="1" applyFill="1" applyBorder="1" applyAlignment="1" applyProtection="1">
      <alignment horizontal="left" vertical="center"/>
      <protection locked="0"/>
    </xf>
    <xf numFmtId="0" fontId="48" fillId="14" borderId="1" xfId="0" applyFont="1" applyFill="1" applyBorder="1" applyAlignment="1" applyProtection="1">
      <alignment horizontal="left" vertical="center" wrapText="1"/>
      <protection locked="0"/>
    </xf>
    <xf numFmtId="0" fontId="8" fillId="14" borderId="1" xfId="0" applyFont="1" applyFill="1" applyBorder="1" applyAlignment="1" applyProtection="1">
      <alignment horizontal="center" vertical="center" wrapText="1"/>
      <protection locked="0"/>
    </xf>
    <xf numFmtId="0" fontId="23" fillId="14" borderId="1" xfId="0" applyFont="1" applyFill="1" applyBorder="1" applyAlignment="1" applyProtection="1">
      <alignment horizontal="left" vertical="center"/>
      <protection locked="0"/>
    </xf>
    <xf numFmtId="1" fontId="8" fillId="3" borderId="1" xfId="2" applyNumberFormat="1" applyFont="1" applyFill="1" applyBorder="1" applyAlignment="1" applyProtection="1">
      <alignment horizontal="center" vertical="center"/>
      <protection locked="0"/>
    </xf>
    <xf numFmtId="0" fontId="4" fillId="14" borderId="1" xfId="0" applyFont="1" applyFill="1" applyBorder="1" applyAlignment="1" applyProtection="1">
      <alignment horizontal="left" vertical="center"/>
      <protection locked="0"/>
    </xf>
    <xf numFmtId="0" fontId="0" fillId="3" borderId="0" xfId="0" applyFill="1" applyProtection="1"/>
    <xf numFmtId="0" fontId="0" fillId="14" borderId="0" xfId="0" applyFill="1" applyProtection="1"/>
    <xf numFmtId="0" fontId="13" fillId="15" borderId="0" xfId="0" applyFont="1" applyFill="1" applyProtection="1"/>
    <xf numFmtId="0" fontId="0" fillId="3" borderId="0" xfId="0" applyFill="1" applyBorder="1" applyProtection="1"/>
    <xf numFmtId="0" fontId="63" fillId="15" borderId="0" xfId="0" applyFont="1" applyFill="1" applyBorder="1" applyAlignment="1" applyProtection="1">
      <alignment horizontal="center" vertical="center"/>
    </xf>
    <xf numFmtId="0" fontId="9" fillId="3" borderId="1" xfId="0" applyFont="1" applyFill="1" applyBorder="1" applyAlignment="1" applyProtection="1">
      <alignment vertical="center"/>
    </xf>
    <xf numFmtId="0" fontId="13" fillId="15" borderId="0" xfId="0" applyFont="1" applyFill="1" applyBorder="1" applyProtection="1"/>
    <xf numFmtId="0" fontId="29" fillId="3" borderId="1" xfId="0" applyFont="1" applyFill="1" applyBorder="1" applyAlignment="1" applyProtection="1">
      <alignment horizontal="right" vertical="center"/>
    </xf>
    <xf numFmtId="0" fontId="62" fillId="15" borderId="0" xfId="0" applyFont="1" applyFill="1" applyProtection="1"/>
    <xf numFmtId="167" fontId="21" fillId="3" borderId="1" xfId="0" applyNumberFormat="1" applyFont="1" applyFill="1" applyBorder="1" applyProtection="1">
      <protection locked="0"/>
    </xf>
    <xf numFmtId="167" fontId="11" fillId="3" borderId="1" xfId="0" applyNumberFormat="1" applyFont="1" applyFill="1" applyBorder="1" applyProtection="1">
      <protection locked="0"/>
    </xf>
    <xf numFmtId="169" fontId="11" fillId="3" borderId="1" xfId="0" applyNumberFormat="1" applyFont="1" applyFill="1" applyBorder="1" applyProtection="1">
      <protection locked="0"/>
    </xf>
    <xf numFmtId="165" fontId="11" fillId="3" borderId="1" xfId="0" applyNumberFormat="1" applyFont="1" applyFill="1" applyBorder="1" applyProtection="1">
      <protection locked="0"/>
    </xf>
    <xf numFmtId="165" fontId="11" fillId="3" borderId="2" xfId="0" applyNumberFormat="1" applyFont="1" applyFill="1" applyBorder="1" applyProtection="1">
      <protection locked="0"/>
    </xf>
    <xf numFmtId="0" fontId="15" fillId="0" borderId="0" xfId="0" applyFont="1" applyFill="1"/>
    <xf numFmtId="165" fontId="11" fillId="3" borderId="1" xfId="0" applyNumberFormat="1" applyFont="1" applyFill="1" applyBorder="1" applyAlignment="1">
      <alignment horizontal="left" vertical="center" wrapText="1"/>
    </xf>
    <xf numFmtId="165" fontId="11" fillId="3" borderId="1" xfId="0" applyNumberFormat="1" applyFont="1" applyFill="1" applyBorder="1" applyAlignment="1">
      <alignment horizontal="center" vertical="center" wrapText="1"/>
    </xf>
    <xf numFmtId="0" fontId="8" fillId="3" borderId="1" xfId="0" applyFont="1" applyFill="1" applyBorder="1" applyAlignment="1" applyProtection="1">
      <alignment horizontal="right" vertical="center"/>
    </xf>
    <xf numFmtId="0" fontId="8" fillId="3" borderId="1" xfId="0" applyFont="1" applyFill="1" applyBorder="1" applyAlignment="1" applyProtection="1">
      <alignment horizontal="left"/>
    </xf>
    <xf numFmtId="0" fontId="9" fillId="3" borderId="3" xfId="0" applyFont="1" applyFill="1" applyBorder="1" applyAlignment="1" applyProtection="1">
      <alignment vertical="center"/>
    </xf>
    <xf numFmtId="0" fontId="9" fillId="3" borderId="0" xfId="0" applyFont="1" applyFill="1" applyBorder="1" applyProtection="1">
      <protection locked="0"/>
    </xf>
    <xf numFmtId="0" fontId="33" fillId="3" borderId="0" xfId="0" applyFont="1" applyFill="1" applyBorder="1" applyAlignment="1" applyProtection="1">
      <alignment horizontal="center" vertical="center"/>
      <protection locked="0"/>
    </xf>
    <xf numFmtId="0" fontId="34" fillId="3" borderId="0" xfId="0" applyFont="1" applyFill="1" applyBorder="1" applyAlignment="1" applyProtection="1">
      <alignment horizontal="center" vertical="center"/>
      <protection locked="0"/>
    </xf>
    <xf numFmtId="0" fontId="3" fillId="12" borderId="0" xfId="0" applyFont="1" applyFill="1"/>
    <xf numFmtId="0" fontId="4" fillId="12" borderId="0" xfId="0" applyFont="1" applyFill="1"/>
    <xf numFmtId="169" fontId="29" fillId="0" borderId="0" xfId="0" applyNumberFormat="1" applyFont="1" applyAlignment="1">
      <alignment vertical="center"/>
    </xf>
    <xf numFmtId="2" fontId="23" fillId="12" borderId="0" xfId="0" applyNumberFormat="1" applyFont="1" applyFill="1" applyAlignment="1">
      <alignment horizontal="center" vertical="center"/>
    </xf>
    <xf numFmtId="165" fontId="29" fillId="12" borderId="0" xfId="0" applyNumberFormat="1" applyFont="1" applyFill="1" applyAlignment="1">
      <alignment horizontal="left" vertical="center" wrapText="1"/>
    </xf>
    <xf numFmtId="0" fontId="0" fillId="12" borderId="11" xfId="0" applyFill="1" applyBorder="1"/>
    <xf numFmtId="0" fontId="0" fillId="12" borderId="13" xfId="0" applyFill="1" applyBorder="1"/>
    <xf numFmtId="0" fontId="0" fillId="12" borderId="18" xfId="0" applyFill="1" applyBorder="1" applyAlignment="1">
      <alignment horizontal="center" vertical="center"/>
    </xf>
    <xf numFmtId="0" fontId="0" fillId="12" borderId="16" xfId="0" applyFill="1" applyBorder="1" applyAlignment="1">
      <alignment horizontal="center" vertical="center"/>
    </xf>
    <xf numFmtId="0" fontId="0" fillId="12" borderId="18" xfId="0" applyFill="1" applyBorder="1" applyAlignment="1">
      <alignment horizontal="center" vertical="center" wrapText="1"/>
    </xf>
    <xf numFmtId="0" fontId="0" fillId="12" borderId="16" xfId="0" applyFill="1" applyBorder="1" applyAlignment="1">
      <alignment horizontal="center" vertical="center" wrapText="1"/>
    </xf>
    <xf numFmtId="0" fontId="0" fillId="12" borderId="18" xfId="0" applyFill="1" applyBorder="1"/>
    <xf numFmtId="0" fontId="0" fillId="12" borderId="16" xfId="0" applyFill="1" applyBorder="1"/>
    <xf numFmtId="0" fontId="0" fillId="12" borderId="19" xfId="0" applyFill="1" applyBorder="1"/>
    <xf numFmtId="0" fontId="0" fillId="12" borderId="21" xfId="0" applyFill="1" applyBorder="1"/>
    <xf numFmtId="0" fontId="15" fillId="3" borderId="0" xfId="0" applyFont="1" applyFill="1" applyAlignment="1">
      <alignment vertical="center"/>
    </xf>
    <xf numFmtId="0" fontId="0" fillId="2" borderId="1" xfId="0" applyFill="1" applyBorder="1" applyAlignment="1">
      <alignment horizontal="right"/>
    </xf>
    <xf numFmtId="0" fontId="10" fillId="2" borderId="3" xfId="0" applyFont="1" applyFill="1" applyBorder="1" applyAlignment="1">
      <alignment horizontal="center" vertical="center"/>
    </xf>
    <xf numFmtId="0" fontId="0" fillId="2" borderId="3" xfId="0" applyFill="1" applyBorder="1" applyAlignment="1">
      <alignment horizontal="left" vertical="center"/>
    </xf>
    <xf numFmtId="0" fontId="0" fillId="2" borderId="10" xfId="0" applyFill="1" applyBorder="1" applyAlignment="1">
      <alignment horizontal="left" vertical="center"/>
    </xf>
    <xf numFmtId="0" fontId="8" fillId="2" borderId="4" xfId="0" applyFont="1" applyFill="1" applyBorder="1" applyAlignment="1">
      <alignment vertical="center"/>
    </xf>
    <xf numFmtId="0" fontId="0" fillId="2" borderId="23" xfId="0" applyFill="1" applyBorder="1"/>
    <xf numFmtId="0" fontId="0" fillId="2" borderId="24" xfId="0" applyFill="1" applyBorder="1"/>
    <xf numFmtId="0" fontId="25" fillId="0" borderId="3" xfId="0" applyFont="1" applyBorder="1" applyAlignment="1">
      <alignment horizontal="center" vertical="center"/>
    </xf>
    <xf numFmtId="0" fontId="25" fillId="0" borderId="1" xfId="0" applyFont="1" applyBorder="1" applyAlignment="1">
      <alignment horizontal="center" vertical="center"/>
    </xf>
    <xf numFmtId="0" fontId="68" fillId="0" borderId="1" xfId="0" applyFont="1" applyBorder="1" applyAlignment="1">
      <alignment horizontal="center" vertical="center"/>
    </xf>
    <xf numFmtId="166" fontId="67" fillId="0" borderId="1" xfId="0" applyNumberFormat="1" applyFont="1" applyBorder="1" applyAlignment="1">
      <alignment horizontal="center" vertical="center"/>
    </xf>
    <xf numFmtId="0" fontId="68" fillId="0" borderId="1" xfId="0" applyFont="1" applyBorder="1" applyAlignment="1">
      <alignment vertical="center"/>
    </xf>
    <xf numFmtId="0" fontId="68" fillId="0" borderId="1" xfId="0" applyFont="1" applyFill="1" applyBorder="1" applyAlignment="1">
      <alignment vertical="center"/>
    </xf>
    <xf numFmtId="165" fontId="31" fillId="13" borderId="2" xfId="0" applyNumberFormat="1" applyFont="1" applyFill="1" applyBorder="1" applyAlignment="1">
      <alignment horizontal="center" vertical="center"/>
    </xf>
    <xf numFmtId="165" fontId="31" fillId="13" borderId="28" xfId="0" applyNumberFormat="1" applyFont="1" applyFill="1" applyBorder="1" applyAlignment="1">
      <alignment horizontal="center" vertical="center"/>
    </xf>
    <xf numFmtId="165" fontId="31" fillId="13" borderId="27" xfId="0" applyNumberFormat="1" applyFont="1" applyFill="1" applyBorder="1" applyAlignment="1">
      <alignment horizontal="center" vertical="center"/>
    </xf>
    <xf numFmtId="170" fontId="23" fillId="9" borderId="0" xfId="0" applyNumberFormat="1" applyFont="1" applyFill="1" applyBorder="1" applyAlignment="1">
      <alignment horizontal="center" vertical="center"/>
    </xf>
    <xf numFmtId="165" fontId="31" fillId="16" borderId="2" xfId="0" applyNumberFormat="1" applyFont="1" applyFill="1" applyBorder="1" applyAlignment="1">
      <alignment horizontal="center" vertical="center"/>
    </xf>
    <xf numFmtId="165" fontId="31" fillId="16" borderId="28" xfId="0" applyNumberFormat="1" applyFont="1" applyFill="1" applyBorder="1" applyAlignment="1">
      <alignment horizontal="center" vertical="center"/>
    </xf>
    <xf numFmtId="165" fontId="31" fillId="16" borderId="27" xfId="0" applyNumberFormat="1" applyFont="1" applyFill="1" applyBorder="1" applyAlignment="1">
      <alignment horizontal="center" vertical="center"/>
    </xf>
    <xf numFmtId="0" fontId="3" fillId="0" borderId="0" xfId="0" applyFont="1" applyBorder="1"/>
    <xf numFmtId="0" fontId="68" fillId="0" borderId="0" xfId="0" applyFont="1" applyBorder="1" applyAlignment="1">
      <alignment horizontal="center" vertical="center"/>
    </xf>
    <xf numFmtId="0" fontId="68" fillId="13" borderId="0" xfId="0" applyFont="1" applyFill="1" applyAlignment="1">
      <alignment horizontal="center" vertical="center" wrapText="1"/>
    </xf>
    <xf numFmtId="170" fontId="31" fillId="16" borderId="4" xfId="0" applyNumberFormat="1" applyFont="1" applyFill="1" applyBorder="1" applyAlignment="1">
      <alignment vertical="center"/>
    </xf>
    <xf numFmtId="170" fontId="31" fillId="16" borderId="6" xfId="0" applyNumberFormat="1" applyFont="1" applyFill="1" applyBorder="1" applyAlignment="1">
      <alignment vertical="center"/>
    </xf>
    <xf numFmtId="170" fontId="31" fillId="16" borderId="2" xfId="0" applyNumberFormat="1" applyFont="1" applyFill="1" applyBorder="1" applyAlignment="1">
      <alignment horizontal="center" vertical="center"/>
    </xf>
    <xf numFmtId="170" fontId="31" fillId="16" borderId="1" xfId="0" applyNumberFormat="1" applyFont="1" applyFill="1" applyBorder="1" applyAlignment="1">
      <alignment vertical="center"/>
    </xf>
    <xf numFmtId="170" fontId="31" fillId="13" borderId="1" xfId="0" applyNumberFormat="1" applyFont="1" applyFill="1" applyBorder="1" applyAlignment="1">
      <alignment vertical="center"/>
    </xf>
    <xf numFmtId="170" fontId="31" fillId="13" borderId="1" xfId="0" applyNumberFormat="1" applyFont="1" applyFill="1" applyBorder="1" applyAlignment="1">
      <alignment horizontal="center" vertical="center"/>
    </xf>
    <xf numFmtId="170" fontId="68" fillId="13" borderId="1" xfId="0" applyNumberFormat="1" applyFont="1" applyFill="1" applyBorder="1" applyAlignment="1">
      <alignment horizontal="center" vertical="center"/>
    </xf>
    <xf numFmtId="0" fontId="68" fillId="0" borderId="0" xfId="0" applyFont="1" applyAlignment="1">
      <alignment horizontal="center" vertical="center"/>
    </xf>
    <xf numFmtId="0" fontId="68" fillId="0" borderId="0" xfId="0" applyFont="1" applyAlignment="1">
      <alignment vertical="center"/>
    </xf>
    <xf numFmtId="0" fontId="68" fillId="12" borderId="1" xfId="0" applyFont="1" applyFill="1" applyBorder="1" applyAlignment="1">
      <alignment horizontal="center" vertical="center"/>
    </xf>
    <xf numFmtId="0" fontId="68" fillId="8" borderId="1" xfId="0" applyFont="1" applyFill="1" applyBorder="1" applyAlignment="1">
      <alignment horizontal="left" vertical="center"/>
    </xf>
    <xf numFmtId="170" fontId="68" fillId="16" borderId="1" xfId="0" applyNumberFormat="1" applyFont="1" applyFill="1" applyBorder="1" applyAlignment="1">
      <alignment horizontal="center" vertical="center"/>
    </xf>
    <xf numFmtId="0" fontId="71" fillId="0" borderId="0" xfId="0" applyFont="1" applyAlignment="1">
      <alignment vertical="center"/>
    </xf>
    <xf numFmtId="0" fontId="70" fillId="15" borderId="0" xfId="0" applyFont="1" applyFill="1" applyBorder="1" applyAlignment="1" applyProtection="1">
      <alignment horizontal="center"/>
    </xf>
    <xf numFmtId="0" fontId="70" fillId="15" borderId="0" xfId="0" applyFont="1" applyFill="1" applyBorder="1" applyAlignment="1" applyProtection="1"/>
    <xf numFmtId="0" fontId="10" fillId="17" borderId="0" xfId="0" applyFont="1" applyFill="1"/>
    <xf numFmtId="0" fontId="0" fillId="17" borderId="0" xfId="0" applyFill="1"/>
    <xf numFmtId="0" fontId="72" fillId="17" borderId="0" xfId="0" applyFont="1" applyFill="1" applyAlignment="1">
      <alignment vertical="center"/>
    </xf>
    <xf numFmtId="0" fontId="0" fillId="18" borderId="0" xfId="0" applyFill="1"/>
    <xf numFmtId="170" fontId="23" fillId="9" borderId="28" xfId="0" applyNumberFormat="1" applyFont="1" applyFill="1" applyBorder="1" applyAlignment="1">
      <alignment horizontal="center" vertical="center"/>
    </xf>
    <xf numFmtId="0" fontId="57" fillId="19" borderId="0" xfId="0" applyFont="1" applyFill="1" applyBorder="1" applyAlignment="1" applyProtection="1">
      <alignment horizontal="left" vertical="center"/>
    </xf>
    <xf numFmtId="0" fontId="56" fillId="19" borderId="0" xfId="0" applyFont="1" applyFill="1" applyBorder="1" applyAlignment="1" applyProtection="1">
      <alignment vertical="center"/>
    </xf>
    <xf numFmtId="0" fontId="3" fillId="19" borderId="0" xfId="0" applyFont="1" applyFill="1" applyBorder="1" applyAlignment="1" applyProtection="1">
      <alignment vertical="center"/>
    </xf>
    <xf numFmtId="0" fontId="36" fillId="19" borderId="0" xfId="0" applyFont="1" applyFill="1" applyBorder="1" applyAlignment="1" applyProtection="1">
      <alignment horizontal="center" vertical="center"/>
    </xf>
    <xf numFmtId="0" fontId="41" fillId="19" borderId="11" xfId="0" applyFont="1" applyFill="1" applyBorder="1" applyAlignment="1">
      <alignment vertical="center"/>
    </xf>
    <xf numFmtId="0" fontId="0" fillId="19" borderId="12" xfId="0" applyFill="1" applyBorder="1"/>
    <xf numFmtId="0" fontId="0" fillId="19" borderId="12" xfId="0" applyFill="1" applyBorder="1" applyAlignment="1">
      <alignment horizontal="center"/>
    </xf>
    <xf numFmtId="0" fontId="0" fillId="19" borderId="22" xfId="0" applyFill="1" applyBorder="1"/>
    <xf numFmtId="0" fontId="0" fillId="19" borderId="13" xfId="0" applyFill="1" applyBorder="1"/>
    <xf numFmtId="0" fontId="15" fillId="19" borderId="0" xfId="0" applyFont="1" applyFill="1"/>
    <xf numFmtId="0" fontId="15" fillId="19" borderId="0" xfId="0" applyFont="1" applyFill="1" applyAlignment="1">
      <alignment horizontal="left" vertical="center"/>
    </xf>
    <xf numFmtId="0" fontId="72" fillId="20" borderId="0" xfId="0" applyFont="1" applyFill="1" applyAlignment="1">
      <alignment vertical="center"/>
    </xf>
    <xf numFmtId="0" fontId="15" fillId="20" borderId="0" xfId="0" applyFont="1" applyFill="1"/>
    <xf numFmtId="0" fontId="51" fillId="14" borderId="0" xfId="0" applyFont="1" applyFill="1" applyBorder="1" applyAlignment="1" applyProtection="1">
      <alignment horizontal="center" vertical="center"/>
    </xf>
    <xf numFmtId="0" fontId="52" fillId="14" borderId="0" xfId="0" applyFont="1" applyFill="1" applyBorder="1" applyAlignment="1" applyProtection="1">
      <alignment horizontal="center" vertical="center"/>
    </xf>
    <xf numFmtId="0" fontId="49" fillId="14" borderId="0" xfId="0" applyFont="1" applyFill="1" applyBorder="1" applyAlignment="1" applyProtection="1">
      <alignment horizontal="left" vertical="center" wrapText="1"/>
    </xf>
    <xf numFmtId="0" fontId="49" fillId="14" borderId="0" xfId="0" applyFont="1" applyFill="1" applyBorder="1" applyAlignment="1" applyProtection="1">
      <alignment horizontal="left" vertical="center"/>
    </xf>
    <xf numFmtId="0" fontId="0" fillId="14" borderId="0" xfId="0" applyFill="1" applyBorder="1" applyProtection="1"/>
    <xf numFmtId="0" fontId="0" fillId="15" borderId="23" xfId="0" applyFont="1" applyFill="1" applyBorder="1" applyProtection="1"/>
    <xf numFmtId="0" fontId="76" fillId="12" borderId="18" xfId="0" applyFont="1" applyFill="1" applyBorder="1" applyAlignment="1">
      <alignment vertical="center"/>
    </xf>
    <xf numFmtId="0" fontId="77" fillId="12" borderId="16" xfId="0" applyFont="1" applyFill="1" applyBorder="1"/>
    <xf numFmtId="0" fontId="78" fillId="12" borderId="18" xfId="0" applyFont="1" applyFill="1" applyBorder="1" applyAlignment="1">
      <alignment vertical="center"/>
    </xf>
    <xf numFmtId="0" fontId="77" fillId="12" borderId="11" xfId="0" applyFont="1" applyFill="1" applyBorder="1"/>
    <xf numFmtId="0" fontId="80" fillId="3" borderId="0" xfId="0" applyFont="1" applyFill="1" applyBorder="1" applyAlignment="1" applyProtection="1">
      <alignment horizontal="center" vertical="center"/>
    </xf>
    <xf numFmtId="2" fontId="40" fillId="2" borderId="0" xfId="0" applyNumberFormat="1" applyFont="1" applyFill="1" applyBorder="1" applyAlignment="1" applyProtection="1">
      <alignment horizontal="center" vertical="center"/>
    </xf>
    <xf numFmtId="0" fontId="8" fillId="12" borderId="0" xfId="0" applyFont="1" applyFill="1" applyAlignment="1">
      <alignment horizontal="center" vertical="center"/>
    </xf>
    <xf numFmtId="0" fontId="0" fillId="3" borderId="14" xfId="0" applyFill="1" applyBorder="1" applyAlignment="1">
      <alignment horizontal="center" vertical="center"/>
    </xf>
    <xf numFmtId="0" fontId="0" fillId="3" borderId="10" xfId="0" applyFill="1" applyBorder="1" applyAlignment="1">
      <alignment horizontal="center" vertical="center"/>
    </xf>
    <xf numFmtId="0" fontId="59" fillId="3" borderId="14" xfId="0" applyFont="1" applyFill="1" applyBorder="1" applyAlignment="1">
      <alignment horizontal="center" vertical="center"/>
    </xf>
    <xf numFmtId="0" fontId="59" fillId="3" borderId="9" xfId="0" applyFont="1" applyFill="1" applyBorder="1" applyAlignment="1">
      <alignment horizontal="center" vertical="center"/>
    </xf>
    <xf numFmtId="0" fontId="8" fillId="3" borderId="14" xfId="0" applyFont="1" applyFill="1" applyBorder="1" applyAlignment="1">
      <alignment horizontal="center" vertical="center" wrapText="1"/>
    </xf>
    <xf numFmtId="0" fontId="8" fillId="3" borderId="9" xfId="0" applyFont="1" applyFill="1" applyBorder="1" applyAlignment="1">
      <alignment horizontal="center" vertical="center" wrapText="1"/>
    </xf>
    <xf numFmtId="9" fontId="44" fillId="14" borderId="3" xfId="2" applyFont="1" applyFill="1" applyBorder="1" applyAlignment="1">
      <alignment horizontal="center" vertical="center"/>
    </xf>
    <xf numFmtId="9" fontId="44" fillId="14" borderId="10" xfId="2" applyFont="1" applyFill="1" applyBorder="1" applyAlignment="1">
      <alignment horizontal="center" vertical="center"/>
    </xf>
    <xf numFmtId="9" fontId="44" fillId="14" borderId="15" xfId="2" applyFont="1" applyFill="1" applyBorder="1" applyAlignment="1">
      <alignment horizontal="center" vertical="center"/>
    </xf>
    <xf numFmtId="0" fontId="39" fillId="14" borderId="3" xfId="0" applyFont="1" applyFill="1" applyBorder="1" applyAlignment="1">
      <alignment horizontal="center" vertical="center"/>
    </xf>
    <xf numFmtId="0" fontId="39" fillId="14" borderId="10" xfId="0" applyFont="1" applyFill="1" applyBorder="1" applyAlignment="1">
      <alignment horizontal="center" vertical="center"/>
    </xf>
    <xf numFmtId="0" fontId="39" fillId="14" borderId="15" xfId="0" applyFont="1" applyFill="1" applyBorder="1" applyAlignment="1">
      <alignment horizontal="center" vertical="center"/>
    </xf>
    <xf numFmtId="170" fontId="42" fillId="14" borderId="3" xfId="0" applyNumberFormat="1" applyFont="1" applyFill="1" applyBorder="1" applyAlignment="1">
      <alignment horizontal="center" vertical="center"/>
    </xf>
    <xf numFmtId="170" fontId="42" fillId="14" borderId="10" xfId="0" applyNumberFormat="1" applyFont="1" applyFill="1" applyBorder="1" applyAlignment="1">
      <alignment horizontal="center" vertical="center"/>
    </xf>
    <xf numFmtId="170" fontId="42" fillId="14" borderId="9" xfId="0" applyNumberFormat="1" applyFont="1" applyFill="1" applyBorder="1" applyAlignment="1">
      <alignment horizontal="center" vertical="center"/>
    </xf>
    <xf numFmtId="9" fontId="43" fillId="14" borderId="3" xfId="0" applyNumberFormat="1" applyFont="1" applyFill="1" applyBorder="1" applyAlignment="1">
      <alignment horizontal="center" vertical="center"/>
    </xf>
    <xf numFmtId="9" fontId="43" fillId="14" borderId="10" xfId="0" applyNumberFormat="1" applyFont="1" applyFill="1" applyBorder="1" applyAlignment="1">
      <alignment horizontal="center" vertical="center"/>
    </xf>
    <xf numFmtId="9" fontId="43" fillId="14" borderId="9" xfId="0" applyNumberFormat="1" applyFont="1" applyFill="1" applyBorder="1" applyAlignment="1">
      <alignment horizontal="center" vertical="center"/>
    </xf>
    <xf numFmtId="0" fontId="38" fillId="14" borderId="10" xfId="0" applyFont="1" applyFill="1" applyBorder="1" applyAlignment="1">
      <alignment horizontal="center" vertical="center"/>
    </xf>
    <xf numFmtId="0" fontId="38" fillId="14" borderId="9" xfId="0" applyFont="1" applyFill="1" applyBorder="1" applyAlignment="1">
      <alignment horizontal="center" vertical="center"/>
    </xf>
    <xf numFmtId="0" fontId="37" fillId="14" borderId="3" xfId="0" applyFont="1" applyFill="1" applyBorder="1" applyAlignment="1">
      <alignment horizontal="center" vertical="center" wrapText="1"/>
    </xf>
    <xf numFmtId="0" fontId="37" fillId="14" borderId="10" xfId="0" applyFont="1" applyFill="1" applyBorder="1" applyAlignment="1">
      <alignment horizontal="center" vertical="center" wrapText="1"/>
    </xf>
    <xf numFmtId="0" fontId="37" fillId="14" borderId="9" xfId="0" applyFont="1" applyFill="1" applyBorder="1" applyAlignment="1">
      <alignment horizontal="center" vertical="center" wrapText="1"/>
    </xf>
    <xf numFmtId="0" fontId="0" fillId="8" borderId="0" xfId="0" applyFill="1" applyAlignment="1">
      <alignment horizontal="center" vertical="center" textRotation="90"/>
    </xf>
    <xf numFmtId="0" fontId="13" fillId="6" borderId="0" xfId="0" applyFont="1" applyFill="1" applyAlignment="1">
      <alignment horizontal="center" vertical="center" textRotation="90"/>
    </xf>
    <xf numFmtId="0" fontId="13" fillId="7" borderId="0" xfId="0" applyFont="1" applyFill="1" applyAlignment="1">
      <alignment horizontal="center" vertical="center" textRotation="90"/>
    </xf>
  </cellXfs>
  <cellStyles count="3">
    <cellStyle name="Currency" xfId="1" builtinId="4"/>
    <cellStyle name="Normal" xfId="0" builtinId="0"/>
    <cellStyle name="Percent" xfId="2" builtinId="5"/>
  </cellStyles>
  <dxfs count="95">
    <dxf>
      <font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b/>
        <i val="0"/>
      </font>
      <fill>
        <patternFill>
          <bgColor rgb="FFFFFF00"/>
        </patternFill>
      </fill>
    </dxf>
    <dxf>
      <font>
        <b val="0"/>
        <i val="0"/>
      </font>
    </dxf>
    <dxf>
      <fill>
        <patternFill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C7CE"/>
        </patternFill>
      </fill>
    </dxf>
    <dxf>
      <font>
        <color theme="5"/>
      </font>
      <fill>
        <patternFill patternType="none">
          <bgColor auto="1"/>
        </patternFill>
      </fill>
    </dxf>
    <dxf>
      <font>
        <b/>
        <i val="0"/>
      </font>
      <fill>
        <patternFill>
          <bgColor rgb="FFFFFF00"/>
        </patternFill>
      </fill>
    </dxf>
    <dxf>
      <font>
        <b val="0"/>
        <i val="0"/>
      </font>
    </dxf>
    <dxf>
      <fill>
        <patternFill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C7CE"/>
        </patternFill>
      </fill>
    </dxf>
    <dxf>
      <font>
        <color theme="5"/>
      </font>
      <fill>
        <patternFill patternType="none">
          <bgColor auto="1"/>
        </patternFill>
      </fill>
    </dxf>
    <dxf>
      <font>
        <b/>
        <i val="0"/>
      </font>
      <fill>
        <patternFill>
          <bgColor rgb="FFFFFF00"/>
        </patternFill>
      </fill>
    </dxf>
    <dxf>
      <font>
        <b val="0"/>
        <i val="0"/>
      </font>
    </dxf>
    <dxf>
      <fill>
        <patternFill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C7CE"/>
        </patternFill>
      </fill>
    </dxf>
    <dxf>
      <font>
        <color theme="5"/>
      </font>
      <fill>
        <patternFill patternType="none">
          <bgColor auto="1"/>
        </patternFill>
      </fill>
    </dxf>
    <dxf>
      <fill>
        <patternFill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C7CE"/>
        </patternFill>
      </fill>
    </dxf>
    <dxf>
      <font>
        <color theme="5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C7CE"/>
        </patternFill>
      </fill>
    </dxf>
    <dxf>
      <font>
        <color theme="5"/>
      </font>
      <fill>
        <patternFill patternType="none">
          <bgColor auto="1"/>
        </patternFill>
      </fill>
    </dxf>
    <dxf>
      <font>
        <color rgb="FFFF0000"/>
      </font>
    </dxf>
    <dxf>
      <font>
        <b/>
        <i val="0"/>
        <color rgb="FFFF0000"/>
      </font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C7CE"/>
        </patternFill>
      </fill>
    </dxf>
    <dxf>
      <font>
        <color theme="5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b/>
        <i val="0"/>
      </font>
      <fill>
        <patternFill>
          <bgColor rgb="FFFFFF00"/>
        </patternFill>
      </fill>
    </dxf>
    <dxf>
      <font>
        <b val="0"/>
        <i val="0"/>
      </font>
    </dxf>
    <dxf>
      <fill>
        <patternFill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C7CE"/>
        </patternFill>
      </fill>
    </dxf>
    <dxf>
      <font>
        <color theme="5"/>
      </font>
      <fill>
        <patternFill patternType="none">
          <bgColor auto="1"/>
        </patternFill>
      </fill>
    </dxf>
  </dxfs>
  <tableStyles count="0" defaultTableStyle="TableStyleMedium2" defaultPivotStyle="PivotStyleLight16"/>
  <colors>
    <mruColors>
      <color rgb="FF00B5EC"/>
      <color rgb="FF008000"/>
      <color rgb="FFFF9999"/>
      <color rgb="FFC41E9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692823348344068"/>
          <c:y val="5.7039020590733014E-2"/>
          <c:w val="0.7119517765910901"/>
          <c:h val="0.7927660962775831"/>
        </c:manualLayout>
      </c:layout>
      <c:doughnutChart>
        <c:varyColors val="1"/>
        <c:ser>
          <c:idx val="0"/>
          <c:order val="0"/>
          <c:spPr>
            <a:ln w="12700">
              <a:solidFill>
                <a:schemeClr val="bg1"/>
              </a:solidFill>
            </a:ln>
            <a:scene3d>
              <a:camera prst="orthographicFront"/>
              <a:lightRig rig="threePt" dir="t"/>
            </a:scene3d>
            <a:sp3d/>
          </c:spPr>
          <c:dPt>
            <c:idx val="0"/>
            <c:bubble3D val="0"/>
            <c:spPr>
              <a:solidFill>
                <a:srgbClr val="00B5EC"/>
              </a:solidFill>
              <a:ln w="12700">
                <a:solidFill>
                  <a:schemeClr val="bg1"/>
                </a:solidFill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01-7E4A-4CC7-9FEA-7630F2798D3E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2700">
                <a:solidFill>
                  <a:schemeClr val="bg1"/>
                </a:solidFill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03-7E4A-4CC7-9FEA-7630F2798D3E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2700">
                <a:solidFill>
                  <a:schemeClr val="bg1"/>
                </a:solidFill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05-7E4A-4CC7-9FEA-7630F2798D3E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2700">
                <a:solidFill>
                  <a:schemeClr val="bg1"/>
                </a:solidFill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07-7E4A-4CC7-9FEA-7630F2798D3E}"/>
              </c:ext>
            </c:extLst>
          </c:dPt>
          <c:dPt>
            <c:idx val="4"/>
            <c:bubble3D val="0"/>
            <c:spPr>
              <a:solidFill>
                <a:srgbClr val="00B050"/>
              </a:solidFill>
              <a:ln w="12700">
                <a:solidFill>
                  <a:schemeClr val="bg1"/>
                </a:solidFill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11-D2CB-4F9D-BAEB-481063849333}"/>
              </c:ext>
            </c:extLst>
          </c:dPt>
          <c:dLbls>
            <c:dLbl>
              <c:idx val="3"/>
              <c:showLegendKey val="0"/>
              <c:showVal val="0"/>
              <c:showCatName val="0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E4A-4CC7-9FEA-7630F2798D3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/>
                  </a:solidFill>
                  <a:round/>
                  <a:headEnd type="oval" w="sm" len="sm"/>
                  <a:tailEnd w="sm" len="sm"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Calculations!$C$14:$C$18</c:f>
              <c:strCache>
                <c:ptCount val="5"/>
                <c:pt idx="0">
                  <c:v>PW</c:v>
                </c:pt>
                <c:pt idx="1">
                  <c:v>Cab</c:v>
                </c:pt>
                <c:pt idx="2">
                  <c:v>Boxes</c:v>
                </c:pt>
                <c:pt idx="3">
                  <c:v>PW Inst</c:v>
                </c:pt>
                <c:pt idx="4">
                  <c:v>Cab Inst</c:v>
                </c:pt>
              </c:strCache>
            </c:strRef>
          </c:cat>
          <c:val>
            <c:numRef>
              <c:f>Calculations!$D$14:$D$18</c:f>
              <c:numCache>
                <c:formatCode>_-[$$-409]* #,##0_ ;_-[$$-409]* \-#,##0\ ;_-[$$-409]* "-"??_ ;_-@_ </c:formatCode>
                <c:ptCount val="5"/>
                <c:pt idx="0">
                  <c:v>2000</c:v>
                </c:pt>
                <c:pt idx="1">
                  <c:v>2000</c:v>
                </c:pt>
                <c:pt idx="2">
                  <c:v>5000</c:v>
                </c:pt>
                <c:pt idx="3">
                  <c:v>52500</c:v>
                </c:pt>
                <c:pt idx="4">
                  <c:v>40000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Calculations!#REF!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8-7E4A-4CC7-9FEA-7630F2798D3E}"/>
            </c:ext>
          </c:extLst>
        </c:ser>
        <c:ser>
          <c:idx val="1"/>
          <c:order val="1"/>
          <c:spPr>
            <a:ln w="12700">
              <a:solidFill>
                <a:schemeClr val="bg1"/>
              </a:solidFill>
            </a:ln>
            <a:scene3d>
              <a:camera prst="orthographicFront"/>
              <a:lightRig rig="threePt" dir="t"/>
            </a:scene3d>
            <a:sp3d/>
          </c:spPr>
          <c:dPt>
            <c:idx val="0"/>
            <c:bubble3D val="0"/>
            <c:spPr>
              <a:solidFill>
                <a:srgbClr val="00B5EC"/>
              </a:solidFill>
              <a:ln w="12700">
                <a:solidFill>
                  <a:schemeClr val="bg1"/>
                </a:solidFill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0A-7E4A-4CC7-9FEA-7630F2798D3E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2700">
                <a:solidFill>
                  <a:schemeClr val="bg1"/>
                </a:solidFill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0C-7E4A-4CC7-9FEA-7630F2798D3E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2700">
                <a:solidFill>
                  <a:schemeClr val="bg1"/>
                </a:solidFill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0E-7E4A-4CC7-9FEA-7630F2798D3E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2700">
                <a:solidFill>
                  <a:schemeClr val="bg1"/>
                </a:solidFill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10-7E4A-4CC7-9FEA-7630F2798D3E}"/>
              </c:ext>
            </c:extLst>
          </c:dPt>
          <c:dPt>
            <c:idx val="4"/>
            <c:bubble3D val="0"/>
            <c:spPr>
              <a:solidFill>
                <a:srgbClr val="00B050"/>
              </a:solidFill>
              <a:ln w="12700">
                <a:solidFill>
                  <a:schemeClr val="bg1"/>
                </a:solidFill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10-D2CB-4F9D-BAEB-481063849333}"/>
              </c:ext>
            </c:extLst>
          </c:dPt>
          <c:dLbls>
            <c:dLbl>
              <c:idx val="3"/>
              <c:showLegendKey val="0"/>
              <c:showVal val="0"/>
              <c:showCatName val="0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7E4A-4CC7-9FEA-7630F2798D3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/>
                  </a:solidFill>
                  <a:round/>
                  <a:headEnd type="oval" w="sm" len="sm"/>
                  <a:tailEnd type="none" w="lg" len="lg"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Calculations!$C$14:$C$18</c:f>
              <c:strCache>
                <c:ptCount val="5"/>
                <c:pt idx="0">
                  <c:v>PW</c:v>
                </c:pt>
                <c:pt idx="1">
                  <c:v>Cab</c:v>
                </c:pt>
                <c:pt idx="2">
                  <c:v>Boxes</c:v>
                </c:pt>
                <c:pt idx="3">
                  <c:v>PW Inst</c:v>
                </c:pt>
                <c:pt idx="4">
                  <c:v>Cab Inst</c:v>
                </c:pt>
              </c:strCache>
            </c:strRef>
          </c:cat>
          <c:val>
            <c:numRef>
              <c:f>Calculations!$D$21:$D$25</c:f>
              <c:numCache>
                <c:formatCode>_-[$$-409]* #,##0_ ;_-[$$-409]* \-#,##0\ ;_-[$$-409]* "-"??_ ;_-@_ </c:formatCode>
                <c:ptCount val="5"/>
                <c:pt idx="0">
                  <c:v>1200</c:v>
                </c:pt>
                <c:pt idx="1">
                  <c:v>1000</c:v>
                </c:pt>
                <c:pt idx="2">
                  <c:v>5000</c:v>
                </c:pt>
                <c:pt idx="3">
                  <c:v>73500</c:v>
                </c:pt>
                <c:pt idx="4">
                  <c:v>40000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Calculations!#REF!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11-7E4A-4CC7-9FEA-7630F2798D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15"/>
      </c:doughnut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6.1917534722222223E-2"/>
          <c:y val="0.80674226797801607"/>
          <c:w val="0.91743663194444447"/>
          <c:h val="0.1654901810264212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GB" sz="1200" b="0" i="0" u="none" strike="noStrike" kern="1200" baseline="0">
                <a:solidFill>
                  <a:srgbClr val="44546A"/>
                </a:solidFill>
                <a:latin typeface="+mn-lt"/>
                <a:ea typeface="+mn-ea"/>
                <a:cs typeface="+mn-cs"/>
              </a:defRPr>
            </a:pPr>
            <a:r>
              <a:rPr lang="en-GB" sz="1200" b="0" i="0" u="none" strike="noStrike" kern="1200" baseline="0">
                <a:solidFill>
                  <a:srgbClr val="44546A"/>
                </a:solidFill>
                <a:latin typeface="+mn-lt"/>
                <a:ea typeface="+mn-ea"/>
                <a:cs typeface="+mn-cs"/>
              </a:rPr>
              <a:t>Cumulative NPV over 10 years period</a:t>
            </a:r>
          </a:p>
        </c:rich>
      </c:tx>
      <c:layout>
        <c:manualLayout>
          <c:xMode val="edge"/>
          <c:yMode val="edge"/>
          <c:x val="0.19834628255304881"/>
          <c:y val="4.693297385193916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GB" sz="1200" b="0" i="0" u="none" strike="noStrike" kern="1200" baseline="0">
              <a:solidFill>
                <a:srgbClr val="44546A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833957876924652"/>
          <c:y val="0.20622943258181239"/>
          <c:w val="0.81680067876722373"/>
          <c:h val="0.5330188740899525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Calculations!$AA$5</c:f>
              <c:strCache>
                <c:ptCount val="1"/>
                <c:pt idx="0">
                  <c:v>Cum (NPV)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  <a:scene3d>
              <a:camera prst="orthographicFront"/>
              <a:lightRig rig="threePt" dir="t"/>
            </a:scene3d>
            <a:sp3d>
              <a:bevelT w="38100" h="38100"/>
            </a:sp3d>
          </c:spPr>
          <c:invertIfNegative val="0"/>
          <c:dLbls>
            <c:dLbl>
              <c:idx val="0"/>
              <c:layout>
                <c:manualLayout>
                  <c:x val="3.3935551311088E-3"/>
                  <c:y val="0.1333174281283550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75F-45F4-A512-BA450CED8D0C}"/>
                </c:ext>
              </c:extLst>
            </c:dLbl>
            <c:dLbl>
              <c:idx val="1"/>
              <c:layout>
                <c:manualLayout>
                  <c:x val="-3.1107229348462751E-17"/>
                  <c:y val="0.1252375839993638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275F-45F4-A512-BA450CED8D0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multiLvlStrRef>
              <c:f>Calculations!$AB$1:$AL$2</c:f>
              <c:multiLvlStrCache>
                <c:ptCount val="11"/>
                <c:lvl>
                  <c:pt idx="0">
                    <c:v>Initial CapEx</c:v>
                  </c:pt>
                  <c:pt idx="1">
                    <c:v>No Upgrade</c:v>
                  </c:pt>
                  <c:pt idx="2">
                    <c:v>No Upgrade</c:v>
                  </c:pt>
                  <c:pt idx="3">
                    <c:v>No Upgrade</c:v>
                  </c:pt>
                  <c:pt idx="4">
                    <c:v>No Upgrade</c:v>
                  </c:pt>
                  <c:pt idx="5">
                    <c:v>No Upgrade</c:v>
                  </c:pt>
                  <c:pt idx="6">
                    <c:v>No Upgrade</c:v>
                  </c:pt>
                  <c:pt idx="7">
                    <c:v>No Upgrade</c:v>
                  </c:pt>
                  <c:pt idx="8">
                    <c:v>No Upgrade</c:v>
                  </c:pt>
                  <c:pt idx="9">
                    <c:v>Upgrade 1</c:v>
                  </c:pt>
                  <c:pt idx="10">
                    <c:v>No Upgrade</c:v>
                  </c:pt>
                </c:lvl>
                <c:lvl>
                  <c:pt idx="0">
                    <c:v>0</c:v>
                  </c:pt>
                  <c:pt idx="1">
                    <c:v>1</c:v>
                  </c:pt>
                  <c:pt idx="2">
                    <c:v>2</c:v>
                  </c:pt>
                  <c:pt idx="3">
                    <c:v>3</c:v>
                  </c:pt>
                  <c:pt idx="4">
                    <c:v>4</c:v>
                  </c:pt>
                  <c:pt idx="5">
                    <c:v>5</c:v>
                  </c:pt>
                  <c:pt idx="6">
                    <c:v>6</c:v>
                  </c:pt>
                  <c:pt idx="7">
                    <c:v>7</c:v>
                  </c:pt>
                  <c:pt idx="8">
                    <c:v>8</c:v>
                  </c:pt>
                  <c:pt idx="9">
                    <c:v>9</c:v>
                  </c:pt>
                  <c:pt idx="10">
                    <c:v>10</c:v>
                  </c:pt>
                </c:lvl>
              </c:multiLvlStrCache>
            </c:multiLvlStrRef>
          </c:cat>
          <c:val>
            <c:numRef>
              <c:f>Calculations!$AB$5:$AL$5</c:f>
              <c:numCache>
                <c:formatCode>0</c:formatCode>
                <c:ptCount val="11"/>
                <c:pt idx="0">
                  <c:v>-2000</c:v>
                </c:pt>
                <c:pt idx="1">
                  <c:v>-2000</c:v>
                </c:pt>
                <c:pt idx="2">
                  <c:v>-2000</c:v>
                </c:pt>
                <c:pt idx="3">
                  <c:v>-2000</c:v>
                </c:pt>
                <c:pt idx="4">
                  <c:v>-2000</c:v>
                </c:pt>
                <c:pt idx="5">
                  <c:v>-2000</c:v>
                </c:pt>
                <c:pt idx="6">
                  <c:v>-2000</c:v>
                </c:pt>
                <c:pt idx="7">
                  <c:v>-2000</c:v>
                </c:pt>
                <c:pt idx="8">
                  <c:v>-2000</c:v>
                </c:pt>
                <c:pt idx="9">
                  <c:v>-2000</c:v>
                </c:pt>
                <c:pt idx="10">
                  <c:v>313.25973657718896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B4A-448D-AB3E-D6720C1230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718650608"/>
        <c:axId val="1755108832"/>
      </c:barChart>
      <c:catAx>
        <c:axId val="1718650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5108832"/>
        <c:crosses val="autoZero"/>
        <c:auto val="1"/>
        <c:lblAlgn val="ctr"/>
        <c:lblOffset val="100"/>
        <c:noMultiLvlLbl val="0"/>
      </c:catAx>
      <c:valAx>
        <c:axId val="1755108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18650608"/>
        <c:crosses val="autoZero"/>
        <c:crossBetween val="between"/>
        <c:dispUnits>
          <c:builtInUnit val="thousands"/>
          <c:dispUnitsLbl>
            <c:layout>
              <c:manualLayout>
                <c:xMode val="edge"/>
                <c:yMode val="edge"/>
                <c:x val="2.6554506650229024E-3"/>
                <c:y val="0.4717731189122516"/>
              </c:manualLayout>
            </c:layout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2"/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 sz="1100" b="0"/>
                    <a:t>$'000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43876182800928171"/>
          <c:y val="0.11394902381804448"/>
          <c:w val="0.19481795698257751"/>
          <c:h val="7.132373936953002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bg1">
          <a:lumMod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GB" sz="1400" b="0"/>
              <a:t>Investment comparisons over 10 yrs. period</a:t>
            </a:r>
          </a:p>
        </c:rich>
      </c:tx>
      <c:layout>
        <c:manualLayout>
          <c:xMode val="edge"/>
          <c:yMode val="edge"/>
          <c:x val="0.27566163054413995"/>
          <c:y val="1.108567128976984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4966293220560563E-2"/>
          <c:y val="0.2170814482600297"/>
          <c:w val="0.88552910549141983"/>
          <c:h val="0.4731761670287695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Dashboard!$B$5</c:f>
              <c:strCache>
                <c:ptCount val="1"/>
                <c:pt idx="0">
                  <c:v>Total Cost (SC)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  <a:scene3d>
              <a:camera prst="orthographicFront"/>
              <a:lightRig rig="threePt" dir="t"/>
            </a:scene3d>
            <a:sp3d>
              <a:bevelT w="38100" h="381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multiLvlStrRef>
              <c:f>Dashboard!$D$3:$N$4</c:f>
              <c:multiLvlStrCache>
                <c:ptCount val="11"/>
                <c:lvl>
                  <c:pt idx="0">
                    <c:v>Initial CapEx</c:v>
                  </c:pt>
                  <c:pt idx="1">
                    <c:v>No Upgrade</c:v>
                  </c:pt>
                  <c:pt idx="2">
                    <c:v>No Upgrade</c:v>
                  </c:pt>
                  <c:pt idx="3">
                    <c:v>No Upgrade</c:v>
                  </c:pt>
                  <c:pt idx="4">
                    <c:v>No Upgrade</c:v>
                  </c:pt>
                  <c:pt idx="5">
                    <c:v>No Upgrade</c:v>
                  </c:pt>
                  <c:pt idx="6">
                    <c:v>No Upgrade</c:v>
                  </c:pt>
                  <c:pt idx="7">
                    <c:v>No Upgrade</c:v>
                  </c:pt>
                  <c:pt idx="8">
                    <c:v>No Upgrade</c:v>
                  </c:pt>
                  <c:pt idx="9">
                    <c:v>Upgrade 1</c:v>
                  </c:pt>
                  <c:pt idx="10">
                    <c:v>No Upgrade</c:v>
                  </c:pt>
                </c:lvl>
                <c:lvl>
                  <c:pt idx="0">
                    <c:v>0</c:v>
                  </c:pt>
                  <c:pt idx="1">
                    <c:v>1</c:v>
                  </c:pt>
                  <c:pt idx="2">
                    <c:v>2</c:v>
                  </c:pt>
                  <c:pt idx="3">
                    <c:v>3</c:v>
                  </c:pt>
                  <c:pt idx="4">
                    <c:v>4</c:v>
                  </c:pt>
                  <c:pt idx="5">
                    <c:v>5</c:v>
                  </c:pt>
                  <c:pt idx="6">
                    <c:v>6</c:v>
                  </c:pt>
                  <c:pt idx="7">
                    <c:v>7</c:v>
                  </c:pt>
                  <c:pt idx="8">
                    <c:v>8</c:v>
                  </c:pt>
                  <c:pt idx="9">
                    <c:v>9</c:v>
                  </c:pt>
                  <c:pt idx="10">
                    <c:v>10</c:v>
                  </c:pt>
                </c:lvl>
              </c:multiLvlStrCache>
            </c:multiLvlStrRef>
          </c:cat>
          <c:val>
            <c:numRef>
              <c:f>Dashboard!$D$5:$N$5</c:f>
              <c:numCache>
                <c:formatCode>0</c:formatCode>
                <c:ptCount val="11"/>
                <c:pt idx="0">
                  <c:v>101500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61800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F27-40A2-B78A-4255CF8ACF93}"/>
            </c:ext>
          </c:extLst>
        </c:ser>
        <c:ser>
          <c:idx val="1"/>
          <c:order val="1"/>
          <c:tx>
            <c:strRef>
              <c:f>Dashboard!$B$6</c:f>
              <c:strCache>
                <c:ptCount val="1"/>
                <c:pt idx="0">
                  <c:v>Total Cost (FP)</c:v>
                </c:pt>
              </c:strCache>
            </c:strRef>
          </c:tx>
          <c:spPr>
            <a:solidFill>
              <a:srgbClr val="00B5EC"/>
            </a:solidFill>
            <a:ln>
              <a:noFill/>
            </a:ln>
            <a:effectLst/>
            <a:scene3d>
              <a:camera prst="orthographicFront"/>
              <a:lightRig rig="threePt" dir="t"/>
            </a:scene3d>
            <a:sp3d>
              <a:bevelT w="38100" h="38100" prst="divot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multiLvlStrRef>
              <c:f>Dashboard!$D$3:$N$4</c:f>
              <c:multiLvlStrCache>
                <c:ptCount val="11"/>
                <c:lvl>
                  <c:pt idx="0">
                    <c:v>Initial CapEx</c:v>
                  </c:pt>
                  <c:pt idx="1">
                    <c:v>No Upgrade</c:v>
                  </c:pt>
                  <c:pt idx="2">
                    <c:v>No Upgrade</c:v>
                  </c:pt>
                  <c:pt idx="3">
                    <c:v>No Upgrade</c:v>
                  </c:pt>
                  <c:pt idx="4">
                    <c:v>No Upgrade</c:v>
                  </c:pt>
                  <c:pt idx="5">
                    <c:v>No Upgrade</c:v>
                  </c:pt>
                  <c:pt idx="6">
                    <c:v>No Upgrade</c:v>
                  </c:pt>
                  <c:pt idx="7">
                    <c:v>No Upgrade</c:v>
                  </c:pt>
                  <c:pt idx="8">
                    <c:v>No Upgrade</c:v>
                  </c:pt>
                  <c:pt idx="9">
                    <c:v>Upgrade 1</c:v>
                  </c:pt>
                  <c:pt idx="10">
                    <c:v>No Upgrade</c:v>
                  </c:pt>
                </c:lvl>
                <c:lvl>
                  <c:pt idx="0">
                    <c:v>0</c:v>
                  </c:pt>
                  <c:pt idx="1">
                    <c:v>1</c:v>
                  </c:pt>
                  <c:pt idx="2">
                    <c:v>2</c:v>
                  </c:pt>
                  <c:pt idx="3">
                    <c:v>3</c:v>
                  </c:pt>
                  <c:pt idx="4">
                    <c:v>4</c:v>
                  </c:pt>
                  <c:pt idx="5">
                    <c:v>5</c:v>
                  </c:pt>
                  <c:pt idx="6">
                    <c:v>6</c:v>
                  </c:pt>
                  <c:pt idx="7">
                    <c:v>7</c:v>
                  </c:pt>
                  <c:pt idx="8">
                    <c:v>8</c:v>
                  </c:pt>
                  <c:pt idx="9">
                    <c:v>9</c:v>
                  </c:pt>
                  <c:pt idx="10">
                    <c:v>10</c:v>
                  </c:pt>
                </c:lvl>
              </c:multiLvlStrCache>
            </c:multiLvlStrRef>
          </c:cat>
          <c:val>
            <c:numRef>
              <c:f>Dashboard!$D$6:$N$6</c:f>
              <c:numCache>
                <c:formatCode>0</c:formatCode>
                <c:ptCount val="11"/>
                <c:pt idx="0">
                  <c:v>120700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26000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F27-40A2-B78A-4255CF8ACF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-10"/>
        <c:axId val="1718650608"/>
        <c:axId val="1755108832"/>
      </c:barChart>
      <c:catAx>
        <c:axId val="1718650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50000"/>
                <a:lumOff val="50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5108832"/>
        <c:crosses val="autoZero"/>
        <c:auto val="1"/>
        <c:lblAlgn val="ctr"/>
        <c:lblOffset val="100"/>
        <c:noMultiLvlLbl val="0"/>
      </c:catAx>
      <c:valAx>
        <c:axId val="1755108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18650608"/>
        <c:crosses val="autoZero"/>
        <c:crossBetween val="between"/>
        <c:dispUnits>
          <c:builtInUnit val="thousands"/>
          <c:dispUnitsLbl>
            <c:layout>
              <c:manualLayout>
                <c:xMode val="edge"/>
                <c:yMode val="edge"/>
                <c:x val="2.5265874301564836E-2"/>
                <c:y val="0.36082650273224043"/>
              </c:manualLayout>
            </c:layout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 sz="1100" b="0">
                      <a:solidFill>
                        <a:sysClr val="windowText" lastClr="000000"/>
                      </a:solidFill>
                    </a:rPr>
                    <a:t>$'000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32216510590631398"/>
          <c:y val="0.12279859156635413"/>
          <c:w val="0.37993655089625611"/>
          <c:h val="0.1087501717525610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bg1">
          <a:lumMod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3575723230892679E-2"/>
          <c:y val="0.14727202389976946"/>
          <c:w val="0.92912326102696763"/>
          <c:h val="0.5383361560628614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Calculations!$K$29</c:f>
              <c:strCache>
                <c:ptCount val="1"/>
                <c:pt idx="0">
                  <c:v>Lab Cost</c:v>
                </c:pt>
              </c:strCache>
            </c:strRef>
          </c:tx>
          <c:spPr>
            <a:solidFill>
              <a:srgbClr val="008000"/>
            </a:solidFill>
            <a:ln>
              <a:noFill/>
            </a:ln>
            <a:effectLst/>
            <a:scene3d>
              <a:camera prst="orthographicFront"/>
              <a:lightRig rig="threePt" dir="t"/>
            </a:scene3d>
            <a:sp3d>
              <a:bevelT w="38100" h="38100"/>
            </a:sp3d>
          </c:spPr>
          <c:invertIfNegative val="0"/>
          <c:dPt>
            <c:idx val="1"/>
            <c:invertIfNegative val="0"/>
            <c:bubble3D val="0"/>
            <c:spPr>
              <a:solidFill>
                <a:srgbClr val="0070C0"/>
              </a:solidFill>
              <a:ln>
                <a:solidFill>
                  <a:srgbClr val="0070C0"/>
                </a:solidFill>
              </a:ln>
              <a:effectLst/>
              <a:scene3d>
                <a:camera prst="orthographicFront"/>
                <a:lightRig rig="threePt" dir="t"/>
              </a:scene3d>
              <a:sp3d>
                <a:bevelT w="38100" h="38100"/>
              </a:sp3d>
            </c:spPr>
            <c:extLst>
              <c:ext xmlns:c16="http://schemas.microsoft.com/office/drawing/2014/chart" uri="{C3380CC4-5D6E-409C-BE32-E72D297353CC}">
                <c16:uniqueId val="{00000000-F956-4E18-9838-680196F3F71F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solidFill>
                  <a:srgbClr val="0070C0"/>
                </a:solidFill>
              </a:ln>
              <a:effectLst/>
              <a:scene3d>
                <a:camera prst="orthographicFront"/>
                <a:lightRig rig="threePt" dir="t"/>
              </a:scene3d>
              <a:sp3d>
                <a:bevelT w="38100" h="38100"/>
              </a:sp3d>
            </c:spPr>
            <c:extLst>
              <c:ext xmlns:c16="http://schemas.microsoft.com/office/drawing/2014/chart" uri="{C3380CC4-5D6E-409C-BE32-E72D297353CC}">
                <c16:uniqueId val="{00000001-F956-4E18-9838-680196F3F71F}"/>
              </c:ext>
            </c:extLst>
          </c:dPt>
          <c:dPt>
            <c:idx val="5"/>
            <c:invertIfNegative val="0"/>
            <c:bubble3D val="0"/>
            <c:spPr>
              <a:solidFill>
                <a:srgbClr val="0070C0"/>
              </a:solidFill>
              <a:ln>
                <a:solidFill>
                  <a:srgbClr val="0070C0"/>
                </a:solidFill>
              </a:ln>
              <a:effectLst/>
              <a:scene3d>
                <a:camera prst="orthographicFront"/>
                <a:lightRig rig="threePt" dir="t"/>
              </a:scene3d>
              <a:sp3d>
                <a:bevelT w="38100" h="38100"/>
              </a:sp3d>
            </c:spPr>
            <c:extLst>
              <c:ext xmlns:c16="http://schemas.microsoft.com/office/drawing/2014/chart" uri="{C3380CC4-5D6E-409C-BE32-E72D297353CC}">
                <c16:uniqueId val="{00000002-F956-4E18-9838-680196F3F71F}"/>
              </c:ext>
            </c:extLst>
          </c:dPt>
          <c:dPt>
            <c:idx val="7"/>
            <c:invertIfNegative val="0"/>
            <c:bubble3D val="0"/>
            <c:spPr>
              <a:solidFill>
                <a:srgbClr val="0070C0"/>
              </a:solidFill>
              <a:ln>
                <a:solidFill>
                  <a:srgbClr val="0070C0"/>
                </a:solidFill>
              </a:ln>
              <a:effectLst/>
              <a:scene3d>
                <a:camera prst="orthographicFront"/>
                <a:lightRig rig="threePt" dir="t"/>
              </a:scene3d>
              <a:sp3d>
                <a:bevelT w="38100" h="38100"/>
              </a:sp3d>
            </c:spPr>
            <c:extLst>
              <c:ext xmlns:c16="http://schemas.microsoft.com/office/drawing/2014/chart" uri="{C3380CC4-5D6E-409C-BE32-E72D297353CC}">
                <c16:uniqueId val="{00000003-F956-4E18-9838-680196F3F71F}"/>
              </c:ext>
            </c:extLst>
          </c:dPt>
          <c:dPt>
            <c:idx val="9"/>
            <c:invertIfNegative val="0"/>
            <c:bubble3D val="0"/>
            <c:spPr>
              <a:solidFill>
                <a:srgbClr val="0070C0"/>
              </a:solidFill>
              <a:ln>
                <a:solidFill>
                  <a:srgbClr val="0070C0"/>
                </a:solidFill>
              </a:ln>
              <a:effectLst/>
              <a:scene3d>
                <a:camera prst="orthographicFront"/>
                <a:lightRig rig="threePt" dir="t"/>
              </a:scene3d>
              <a:sp3d>
                <a:bevelT w="38100" h="38100"/>
              </a:sp3d>
            </c:spPr>
            <c:extLst>
              <c:ext xmlns:c16="http://schemas.microsoft.com/office/drawing/2014/chart" uri="{C3380CC4-5D6E-409C-BE32-E72D297353CC}">
                <c16:uniqueId val="{00000004-F956-4E18-9838-680196F3F71F}"/>
              </c:ext>
            </c:extLst>
          </c:dPt>
          <c:dPt>
            <c:idx val="11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  <a:scene3d>
                <a:camera prst="orthographicFront"/>
                <a:lightRig rig="threePt" dir="t"/>
              </a:scene3d>
              <a:sp3d>
                <a:bevelT w="38100" h="38100"/>
              </a:sp3d>
            </c:spPr>
            <c:extLst>
              <c:ext xmlns:c16="http://schemas.microsoft.com/office/drawing/2014/chart" uri="{C3380CC4-5D6E-409C-BE32-E72D297353CC}">
                <c16:uniqueId val="{00000005-F956-4E18-9838-680196F3F71F}"/>
              </c:ext>
            </c:extLst>
          </c:dPt>
          <c:dPt>
            <c:idx val="13"/>
            <c:invertIfNegative val="0"/>
            <c:bubble3D val="0"/>
            <c:spPr>
              <a:solidFill>
                <a:srgbClr val="0070C0"/>
              </a:solidFill>
              <a:ln>
                <a:solidFill>
                  <a:srgbClr val="0070C0"/>
                </a:solidFill>
              </a:ln>
              <a:effectLst/>
              <a:scene3d>
                <a:camera prst="orthographicFront"/>
                <a:lightRig rig="threePt" dir="t"/>
              </a:scene3d>
              <a:sp3d>
                <a:bevelT w="38100" h="38100"/>
              </a:sp3d>
            </c:spPr>
            <c:extLst>
              <c:ext xmlns:c16="http://schemas.microsoft.com/office/drawing/2014/chart" uri="{C3380CC4-5D6E-409C-BE32-E72D297353CC}">
                <c16:uniqueId val="{00000006-F956-4E18-9838-680196F3F71F}"/>
              </c:ext>
            </c:extLst>
          </c:dPt>
          <c:dPt>
            <c:idx val="15"/>
            <c:invertIfNegative val="0"/>
            <c:bubble3D val="0"/>
            <c:spPr>
              <a:solidFill>
                <a:srgbClr val="0070C0"/>
              </a:solidFill>
              <a:ln>
                <a:solidFill>
                  <a:srgbClr val="0070C0"/>
                </a:solidFill>
              </a:ln>
              <a:effectLst/>
              <a:scene3d>
                <a:camera prst="orthographicFront"/>
                <a:lightRig rig="threePt" dir="t"/>
              </a:scene3d>
              <a:sp3d>
                <a:bevelT w="38100" h="38100"/>
              </a:sp3d>
            </c:spPr>
            <c:extLst>
              <c:ext xmlns:c16="http://schemas.microsoft.com/office/drawing/2014/chart" uri="{C3380CC4-5D6E-409C-BE32-E72D297353CC}">
                <c16:uniqueId val="{00000007-F956-4E18-9838-680196F3F71F}"/>
              </c:ext>
            </c:extLst>
          </c:dPt>
          <c:dPt>
            <c:idx val="17"/>
            <c:invertIfNegative val="0"/>
            <c:bubble3D val="0"/>
            <c:spPr>
              <a:solidFill>
                <a:srgbClr val="0070C0"/>
              </a:solidFill>
              <a:ln>
                <a:solidFill>
                  <a:srgbClr val="0070C0"/>
                </a:solidFill>
              </a:ln>
              <a:effectLst/>
              <a:scene3d>
                <a:camera prst="orthographicFront"/>
                <a:lightRig rig="threePt" dir="t"/>
              </a:scene3d>
              <a:sp3d>
                <a:bevelT w="38100" h="38100"/>
              </a:sp3d>
            </c:spPr>
            <c:extLst>
              <c:ext xmlns:c16="http://schemas.microsoft.com/office/drawing/2014/chart" uri="{C3380CC4-5D6E-409C-BE32-E72D297353CC}">
                <c16:uniqueId val="{00000008-F956-4E18-9838-680196F3F71F}"/>
              </c:ext>
            </c:extLst>
          </c:dPt>
          <c:dPt>
            <c:idx val="19"/>
            <c:invertIfNegative val="0"/>
            <c:bubble3D val="0"/>
            <c:spPr>
              <a:solidFill>
                <a:srgbClr val="0070C0"/>
              </a:solidFill>
              <a:ln>
                <a:solidFill>
                  <a:srgbClr val="0070C0"/>
                </a:solidFill>
              </a:ln>
              <a:effectLst/>
              <a:scene3d>
                <a:camera prst="orthographicFront"/>
                <a:lightRig rig="threePt" dir="t"/>
              </a:scene3d>
              <a:sp3d>
                <a:bevelT w="38100" h="38100"/>
              </a:sp3d>
            </c:spPr>
            <c:extLst>
              <c:ext xmlns:c16="http://schemas.microsoft.com/office/drawing/2014/chart" uri="{C3380CC4-5D6E-409C-BE32-E72D297353CC}">
                <c16:uniqueId val="{00000009-F956-4E18-9838-680196F3F71F}"/>
              </c:ext>
            </c:extLst>
          </c:dPt>
          <c:dPt>
            <c:idx val="21"/>
            <c:invertIfNegative val="0"/>
            <c:bubble3D val="0"/>
            <c:spPr>
              <a:solidFill>
                <a:srgbClr val="0070C0"/>
              </a:solidFill>
              <a:ln>
                <a:solidFill>
                  <a:srgbClr val="0070C0"/>
                </a:solidFill>
              </a:ln>
              <a:effectLst/>
              <a:scene3d>
                <a:camera prst="orthographicFront"/>
                <a:lightRig rig="threePt" dir="t"/>
              </a:scene3d>
              <a:sp3d>
                <a:bevelT w="38100" h="38100"/>
              </a:sp3d>
            </c:spPr>
            <c:extLst>
              <c:ext xmlns:c16="http://schemas.microsoft.com/office/drawing/2014/chart" uri="{C3380CC4-5D6E-409C-BE32-E72D297353CC}">
                <c16:uniqueId val="{0000000A-F956-4E18-9838-680196F3F71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multiLvlStrRef>
              <c:f>Calculations!$L$27:$AG$28</c:f>
              <c:multiLvlStrCache>
                <c:ptCount val="22"/>
                <c:lvl>
                  <c:pt idx="0">
                    <c:v>Initial CapEx</c:v>
                  </c:pt>
                  <c:pt idx="1">
                    <c:v>Initial CapEx</c:v>
                  </c:pt>
                  <c:pt idx="2">
                    <c:v>No Upgrade</c:v>
                  </c:pt>
                  <c:pt idx="3">
                    <c:v>No Upgrade</c:v>
                  </c:pt>
                  <c:pt idx="4">
                    <c:v>No Upgrade</c:v>
                  </c:pt>
                  <c:pt idx="5">
                    <c:v>No Upgrade</c:v>
                  </c:pt>
                  <c:pt idx="6">
                    <c:v>No Upgrade</c:v>
                  </c:pt>
                  <c:pt idx="7">
                    <c:v>No Upgrade</c:v>
                  </c:pt>
                  <c:pt idx="8">
                    <c:v>No Upgrade</c:v>
                  </c:pt>
                  <c:pt idx="9">
                    <c:v>No Upgrade</c:v>
                  </c:pt>
                  <c:pt idx="10">
                    <c:v>No Upgrade</c:v>
                  </c:pt>
                  <c:pt idx="11">
                    <c:v>No Upgrade</c:v>
                  </c:pt>
                  <c:pt idx="12">
                    <c:v>No Upgrade</c:v>
                  </c:pt>
                  <c:pt idx="13">
                    <c:v>No Upgrade</c:v>
                  </c:pt>
                  <c:pt idx="14">
                    <c:v>No Upgrade</c:v>
                  </c:pt>
                  <c:pt idx="15">
                    <c:v>No Upgrade</c:v>
                  </c:pt>
                  <c:pt idx="16">
                    <c:v>No Upgrade</c:v>
                  </c:pt>
                  <c:pt idx="17">
                    <c:v>No Upgrade</c:v>
                  </c:pt>
                  <c:pt idx="18">
                    <c:v>Upgrade 1</c:v>
                  </c:pt>
                  <c:pt idx="19">
                    <c:v>Upgrade 1</c:v>
                  </c:pt>
                  <c:pt idx="20">
                    <c:v>No Upgrade</c:v>
                  </c:pt>
                  <c:pt idx="21">
                    <c:v>No Upgrade</c:v>
                  </c:pt>
                </c:lvl>
                <c:lvl>
                  <c:pt idx="0">
                    <c:v>0</c:v>
                  </c:pt>
                  <c:pt idx="1">
                    <c:v>0</c:v>
                  </c:pt>
                  <c:pt idx="2">
                    <c:v>1</c:v>
                  </c:pt>
                  <c:pt idx="3">
                    <c:v>1</c:v>
                  </c:pt>
                  <c:pt idx="4">
                    <c:v>2</c:v>
                  </c:pt>
                  <c:pt idx="5">
                    <c:v>2</c:v>
                  </c:pt>
                  <c:pt idx="6">
                    <c:v>3</c:v>
                  </c:pt>
                  <c:pt idx="7">
                    <c:v>3</c:v>
                  </c:pt>
                  <c:pt idx="8">
                    <c:v>4</c:v>
                  </c:pt>
                  <c:pt idx="9">
                    <c:v>4</c:v>
                  </c:pt>
                  <c:pt idx="10">
                    <c:v>5</c:v>
                  </c:pt>
                  <c:pt idx="11">
                    <c:v>5</c:v>
                  </c:pt>
                  <c:pt idx="12">
                    <c:v>6</c:v>
                  </c:pt>
                  <c:pt idx="13">
                    <c:v>6</c:v>
                  </c:pt>
                  <c:pt idx="14">
                    <c:v>7</c:v>
                  </c:pt>
                  <c:pt idx="15">
                    <c:v>7</c:v>
                  </c:pt>
                  <c:pt idx="16">
                    <c:v>8</c:v>
                  </c:pt>
                  <c:pt idx="17">
                    <c:v>8</c:v>
                  </c:pt>
                  <c:pt idx="18">
                    <c:v>9</c:v>
                  </c:pt>
                  <c:pt idx="19">
                    <c:v>9</c:v>
                  </c:pt>
                  <c:pt idx="20">
                    <c:v>10</c:v>
                  </c:pt>
                  <c:pt idx="21">
                    <c:v>10</c:v>
                  </c:pt>
                </c:lvl>
              </c:multiLvlStrCache>
            </c:multiLvlStrRef>
          </c:cat>
          <c:val>
            <c:numRef>
              <c:f>Calculations!$L$29:$AG$29</c:f>
              <c:numCache>
                <c:formatCode>_-[$$-409]* #,##0_ ;_-[$$-409]* \-#,##0\ ;_-[$$-409]* "-"??_ ;_-@_ </c:formatCode>
                <c:ptCount val="22"/>
                <c:pt idx="0">
                  <c:v>92500</c:v>
                </c:pt>
                <c:pt idx="1">
                  <c:v>113500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53800</c:v>
                </c:pt>
                <c:pt idx="19">
                  <c:v>20000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B9-453C-A1AA-784C2A4C0865}"/>
            </c:ext>
          </c:extLst>
        </c:ser>
        <c:ser>
          <c:idx val="1"/>
          <c:order val="1"/>
          <c:tx>
            <c:strRef>
              <c:f>Calculations!$K$30</c:f>
              <c:strCache>
                <c:ptCount val="1"/>
                <c:pt idx="0">
                  <c:v>Mat Cost</c:v>
                </c:pt>
              </c:strCache>
            </c:strRef>
          </c:tx>
          <c:spPr>
            <a:solidFill>
              <a:srgbClr val="00B050"/>
            </a:solidFill>
            <a:ln>
              <a:solidFill>
                <a:srgbClr val="00B050"/>
              </a:solidFill>
            </a:ln>
            <a:effectLst/>
            <a:scene3d>
              <a:camera prst="orthographicFront"/>
              <a:lightRig rig="threePt" dir="t"/>
            </a:scene3d>
            <a:sp3d>
              <a:bevelT w="38100" h="38100"/>
            </a:sp3d>
          </c:spPr>
          <c:invertIfNegative val="0"/>
          <c:dPt>
            <c:idx val="1"/>
            <c:invertIfNegative val="0"/>
            <c:bubble3D val="0"/>
            <c:spPr>
              <a:solidFill>
                <a:srgbClr val="00B0F0"/>
              </a:solidFill>
              <a:ln>
                <a:solidFill>
                  <a:srgbClr val="00B0F0"/>
                </a:solidFill>
              </a:ln>
              <a:effectLst/>
              <a:scene3d>
                <a:camera prst="orthographicFront"/>
                <a:lightRig rig="threePt" dir="t"/>
              </a:scene3d>
              <a:sp3d>
                <a:bevelT w="38100" h="38100"/>
              </a:sp3d>
            </c:spPr>
            <c:extLst>
              <c:ext xmlns:c16="http://schemas.microsoft.com/office/drawing/2014/chart" uri="{C3380CC4-5D6E-409C-BE32-E72D297353CC}">
                <c16:uniqueId val="{0000000E-F956-4E18-9838-680196F3F71F}"/>
              </c:ext>
            </c:extLst>
          </c:dPt>
          <c:dPt>
            <c:idx val="3"/>
            <c:invertIfNegative val="0"/>
            <c:bubble3D val="0"/>
            <c:spPr>
              <a:solidFill>
                <a:srgbClr val="00B5EC"/>
              </a:solidFill>
              <a:ln>
                <a:solidFill>
                  <a:srgbClr val="00B5EC"/>
                </a:solidFill>
              </a:ln>
              <a:effectLst/>
              <a:scene3d>
                <a:camera prst="orthographicFront"/>
                <a:lightRig rig="threePt" dir="t"/>
              </a:scene3d>
              <a:sp3d>
                <a:bevelT w="38100" h="38100"/>
              </a:sp3d>
            </c:spPr>
            <c:extLst>
              <c:ext xmlns:c16="http://schemas.microsoft.com/office/drawing/2014/chart" uri="{C3380CC4-5D6E-409C-BE32-E72D297353CC}">
                <c16:uniqueId val="{0000000F-F956-4E18-9838-680196F3F71F}"/>
              </c:ext>
            </c:extLst>
          </c:dPt>
          <c:dPt>
            <c:idx val="5"/>
            <c:invertIfNegative val="0"/>
            <c:bubble3D val="0"/>
            <c:spPr>
              <a:solidFill>
                <a:srgbClr val="00B5EC"/>
              </a:solidFill>
              <a:ln>
                <a:solidFill>
                  <a:srgbClr val="00B5EC"/>
                </a:solidFill>
              </a:ln>
              <a:effectLst/>
              <a:scene3d>
                <a:camera prst="orthographicFront"/>
                <a:lightRig rig="threePt" dir="t"/>
              </a:scene3d>
              <a:sp3d>
                <a:bevelT w="38100" h="38100"/>
              </a:sp3d>
            </c:spPr>
            <c:extLst>
              <c:ext xmlns:c16="http://schemas.microsoft.com/office/drawing/2014/chart" uri="{C3380CC4-5D6E-409C-BE32-E72D297353CC}">
                <c16:uniqueId val="{00000010-F956-4E18-9838-680196F3F71F}"/>
              </c:ext>
            </c:extLst>
          </c:dPt>
          <c:dPt>
            <c:idx val="7"/>
            <c:invertIfNegative val="0"/>
            <c:bubble3D val="0"/>
            <c:spPr>
              <a:solidFill>
                <a:srgbClr val="00B5EC"/>
              </a:solidFill>
              <a:ln>
                <a:solidFill>
                  <a:srgbClr val="00B5EC"/>
                </a:solidFill>
              </a:ln>
              <a:effectLst/>
              <a:scene3d>
                <a:camera prst="orthographicFront"/>
                <a:lightRig rig="threePt" dir="t"/>
              </a:scene3d>
              <a:sp3d>
                <a:bevelT w="38100" h="38100"/>
              </a:sp3d>
            </c:spPr>
            <c:extLst>
              <c:ext xmlns:c16="http://schemas.microsoft.com/office/drawing/2014/chart" uri="{C3380CC4-5D6E-409C-BE32-E72D297353CC}">
                <c16:uniqueId val="{00000011-F956-4E18-9838-680196F3F71F}"/>
              </c:ext>
            </c:extLst>
          </c:dPt>
          <c:dPt>
            <c:idx val="9"/>
            <c:invertIfNegative val="0"/>
            <c:bubble3D val="0"/>
            <c:spPr>
              <a:solidFill>
                <a:srgbClr val="00B5EC"/>
              </a:solidFill>
              <a:ln>
                <a:solidFill>
                  <a:srgbClr val="00B5EC"/>
                </a:solidFill>
              </a:ln>
              <a:effectLst/>
              <a:scene3d>
                <a:camera prst="orthographicFront"/>
                <a:lightRig rig="threePt" dir="t"/>
              </a:scene3d>
              <a:sp3d>
                <a:bevelT w="38100" h="38100"/>
              </a:sp3d>
            </c:spPr>
            <c:extLst>
              <c:ext xmlns:c16="http://schemas.microsoft.com/office/drawing/2014/chart" uri="{C3380CC4-5D6E-409C-BE32-E72D297353CC}">
                <c16:uniqueId val="{00000012-F956-4E18-9838-680196F3F71F}"/>
              </c:ext>
            </c:extLst>
          </c:dPt>
          <c:dPt>
            <c:idx val="11"/>
            <c:invertIfNegative val="0"/>
            <c:bubble3D val="0"/>
            <c:spPr>
              <a:solidFill>
                <a:srgbClr val="00B0F0"/>
              </a:solidFill>
              <a:ln>
                <a:solidFill>
                  <a:srgbClr val="00B0F0"/>
                </a:solidFill>
              </a:ln>
              <a:effectLst/>
              <a:scene3d>
                <a:camera prst="orthographicFront"/>
                <a:lightRig rig="threePt" dir="t"/>
              </a:scene3d>
              <a:sp3d>
                <a:bevelT w="38100" h="38100"/>
              </a:sp3d>
            </c:spPr>
            <c:extLst>
              <c:ext xmlns:c16="http://schemas.microsoft.com/office/drawing/2014/chart" uri="{C3380CC4-5D6E-409C-BE32-E72D297353CC}">
                <c16:uniqueId val="{00000013-F956-4E18-9838-680196F3F71F}"/>
              </c:ext>
            </c:extLst>
          </c:dPt>
          <c:dPt>
            <c:idx val="13"/>
            <c:invertIfNegative val="0"/>
            <c:bubble3D val="0"/>
            <c:spPr>
              <a:solidFill>
                <a:srgbClr val="00B5EC"/>
              </a:solidFill>
              <a:ln>
                <a:solidFill>
                  <a:srgbClr val="00B5EC"/>
                </a:solidFill>
              </a:ln>
              <a:effectLst/>
              <a:scene3d>
                <a:camera prst="orthographicFront"/>
                <a:lightRig rig="threePt" dir="t"/>
              </a:scene3d>
              <a:sp3d>
                <a:bevelT w="38100" h="38100"/>
              </a:sp3d>
            </c:spPr>
            <c:extLst>
              <c:ext xmlns:c16="http://schemas.microsoft.com/office/drawing/2014/chart" uri="{C3380CC4-5D6E-409C-BE32-E72D297353CC}">
                <c16:uniqueId val="{00000014-F956-4E18-9838-680196F3F71F}"/>
              </c:ext>
            </c:extLst>
          </c:dPt>
          <c:dPt>
            <c:idx val="15"/>
            <c:invertIfNegative val="0"/>
            <c:bubble3D val="0"/>
            <c:spPr>
              <a:solidFill>
                <a:srgbClr val="00B050"/>
              </a:solidFill>
              <a:ln>
                <a:solidFill>
                  <a:srgbClr val="00B5EC"/>
                </a:solidFill>
              </a:ln>
              <a:effectLst/>
              <a:scene3d>
                <a:camera prst="orthographicFront"/>
                <a:lightRig rig="threePt" dir="t"/>
              </a:scene3d>
              <a:sp3d>
                <a:bevelT w="38100" h="38100"/>
              </a:sp3d>
            </c:spPr>
            <c:extLst>
              <c:ext xmlns:c16="http://schemas.microsoft.com/office/drawing/2014/chart" uri="{C3380CC4-5D6E-409C-BE32-E72D297353CC}">
                <c16:uniqueId val="{00000015-F956-4E18-9838-680196F3F71F}"/>
              </c:ext>
            </c:extLst>
          </c:dPt>
          <c:dPt>
            <c:idx val="17"/>
            <c:invertIfNegative val="0"/>
            <c:bubble3D val="0"/>
            <c:spPr>
              <a:solidFill>
                <a:srgbClr val="00B5EC"/>
              </a:solidFill>
              <a:ln>
                <a:solidFill>
                  <a:srgbClr val="00B5EC"/>
                </a:solidFill>
              </a:ln>
              <a:effectLst/>
              <a:scene3d>
                <a:camera prst="orthographicFront"/>
                <a:lightRig rig="threePt" dir="t"/>
              </a:scene3d>
              <a:sp3d>
                <a:bevelT w="38100" h="38100"/>
              </a:sp3d>
            </c:spPr>
            <c:extLst>
              <c:ext xmlns:c16="http://schemas.microsoft.com/office/drawing/2014/chart" uri="{C3380CC4-5D6E-409C-BE32-E72D297353CC}">
                <c16:uniqueId val="{00000016-F956-4E18-9838-680196F3F71F}"/>
              </c:ext>
            </c:extLst>
          </c:dPt>
          <c:dPt>
            <c:idx val="19"/>
            <c:invertIfNegative val="0"/>
            <c:bubble3D val="0"/>
            <c:spPr>
              <a:solidFill>
                <a:srgbClr val="00B5EC"/>
              </a:solidFill>
              <a:ln>
                <a:solidFill>
                  <a:srgbClr val="00B5EC"/>
                </a:solidFill>
              </a:ln>
              <a:effectLst/>
              <a:scene3d>
                <a:camera prst="orthographicFront"/>
                <a:lightRig rig="threePt" dir="t"/>
              </a:scene3d>
              <a:sp3d>
                <a:bevelT w="38100" h="38100"/>
              </a:sp3d>
            </c:spPr>
            <c:extLst>
              <c:ext xmlns:c16="http://schemas.microsoft.com/office/drawing/2014/chart" uri="{C3380CC4-5D6E-409C-BE32-E72D297353CC}">
                <c16:uniqueId val="{00000017-F956-4E18-9838-680196F3F71F}"/>
              </c:ext>
            </c:extLst>
          </c:dPt>
          <c:dPt>
            <c:idx val="21"/>
            <c:invertIfNegative val="0"/>
            <c:bubble3D val="0"/>
            <c:spPr>
              <a:solidFill>
                <a:srgbClr val="00B5EC"/>
              </a:solidFill>
              <a:ln>
                <a:solidFill>
                  <a:srgbClr val="00B5EC"/>
                </a:solidFill>
              </a:ln>
              <a:effectLst/>
              <a:scene3d>
                <a:camera prst="orthographicFront"/>
                <a:lightRig rig="threePt" dir="t"/>
              </a:scene3d>
              <a:sp3d>
                <a:bevelT w="38100" h="38100"/>
              </a:sp3d>
            </c:spPr>
            <c:extLst>
              <c:ext xmlns:c16="http://schemas.microsoft.com/office/drawing/2014/chart" uri="{C3380CC4-5D6E-409C-BE32-E72D297353CC}">
                <c16:uniqueId val="{00000018-F956-4E18-9838-680196F3F71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multiLvlStrRef>
              <c:f>Calculations!$L$27:$AG$28</c:f>
              <c:multiLvlStrCache>
                <c:ptCount val="22"/>
                <c:lvl>
                  <c:pt idx="0">
                    <c:v>Initial CapEx</c:v>
                  </c:pt>
                  <c:pt idx="1">
                    <c:v>Initial CapEx</c:v>
                  </c:pt>
                  <c:pt idx="2">
                    <c:v>No Upgrade</c:v>
                  </c:pt>
                  <c:pt idx="3">
                    <c:v>No Upgrade</c:v>
                  </c:pt>
                  <c:pt idx="4">
                    <c:v>No Upgrade</c:v>
                  </c:pt>
                  <c:pt idx="5">
                    <c:v>No Upgrade</c:v>
                  </c:pt>
                  <c:pt idx="6">
                    <c:v>No Upgrade</c:v>
                  </c:pt>
                  <c:pt idx="7">
                    <c:v>No Upgrade</c:v>
                  </c:pt>
                  <c:pt idx="8">
                    <c:v>No Upgrade</c:v>
                  </c:pt>
                  <c:pt idx="9">
                    <c:v>No Upgrade</c:v>
                  </c:pt>
                  <c:pt idx="10">
                    <c:v>No Upgrade</c:v>
                  </c:pt>
                  <c:pt idx="11">
                    <c:v>No Upgrade</c:v>
                  </c:pt>
                  <c:pt idx="12">
                    <c:v>No Upgrade</c:v>
                  </c:pt>
                  <c:pt idx="13">
                    <c:v>No Upgrade</c:v>
                  </c:pt>
                  <c:pt idx="14">
                    <c:v>No Upgrade</c:v>
                  </c:pt>
                  <c:pt idx="15">
                    <c:v>No Upgrade</c:v>
                  </c:pt>
                  <c:pt idx="16">
                    <c:v>No Upgrade</c:v>
                  </c:pt>
                  <c:pt idx="17">
                    <c:v>No Upgrade</c:v>
                  </c:pt>
                  <c:pt idx="18">
                    <c:v>Upgrade 1</c:v>
                  </c:pt>
                  <c:pt idx="19">
                    <c:v>Upgrade 1</c:v>
                  </c:pt>
                  <c:pt idx="20">
                    <c:v>No Upgrade</c:v>
                  </c:pt>
                  <c:pt idx="21">
                    <c:v>No Upgrade</c:v>
                  </c:pt>
                </c:lvl>
                <c:lvl>
                  <c:pt idx="0">
                    <c:v>0</c:v>
                  </c:pt>
                  <c:pt idx="1">
                    <c:v>0</c:v>
                  </c:pt>
                  <c:pt idx="2">
                    <c:v>1</c:v>
                  </c:pt>
                  <c:pt idx="3">
                    <c:v>1</c:v>
                  </c:pt>
                  <c:pt idx="4">
                    <c:v>2</c:v>
                  </c:pt>
                  <c:pt idx="5">
                    <c:v>2</c:v>
                  </c:pt>
                  <c:pt idx="6">
                    <c:v>3</c:v>
                  </c:pt>
                  <c:pt idx="7">
                    <c:v>3</c:v>
                  </c:pt>
                  <c:pt idx="8">
                    <c:v>4</c:v>
                  </c:pt>
                  <c:pt idx="9">
                    <c:v>4</c:v>
                  </c:pt>
                  <c:pt idx="10">
                    <c:v>5</c:v>
                  </c:pt>
                  <c:pt idx="11">
                    <c:v>5</c:v>
                  </c:pt>
                  <c:pt idx="12">
                    <c:v>6</c:v>
                  </c:pt>
                  <c:pt idx="13">
                    <c:v>6</c:v>
                  </c:pt>
                  <c:pt idx="14">
                    <c:v>7</c:v>
                  </c:pt>
                  <c:pt idx="15">
                    <c:v>7</c:v>
                  </c:pt>
                  <c:pt idx="16">
                    <c:v>8</c:v>
                  </c:pt>
                  <c:pt idx="17">
                    <c:v>8</c:v>
                  </c:pt>
                  <c:pt idx="18">
                    <c:v>9</c:v>
                  </c:pt>
                  <c:pt idx="19">
                    <c:v>9</c:v>
                  </c:pt>
                  <c:pt idx="20">
                    <c:v>10</c:v>
                  </c:pt>
                  <c:pt idx="21">
                    <c:v>10</c:v>
                  </c:pt>
                </c:lvl>
              </c:multiLvlStrCache>
            </c:multiLvlStrRef>
          </c:cat>
          <c:val>
            <c:numRef>
              <c:f>Calculations!$L$30:$AG$30</c:f>
              <c:numCache>
                <c:formatCode>_-[$$-409]* #,##0_ ;_-[$$-409]* \-#,##0\ ;_-[$$-409]* "-"??_ ;_-@_ </c:formatCode>
                <c:ptCount val="22"/>
                <c:pt idx="0">
                  <c:v>9000</c:v>
                </c:pt>
                <c:pt idx="1">
                  <c:v>7200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8000</c:v>
                </c:pt>
                <c:pt idx="19">
                  <c:v>6000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3B9-453C-A1AA-784C2A4C08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0"/>
        <c:axId val="1718650608"/>
        <c:axId val="1755108832"/>
      </c:barChart>
      <c:catAx>
        <c:axId val="1718650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50000"/>
                <a:lumOff val="50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5108832"/>
        <c:crosses val="autoZero"/>
        <c:auto val="1"/>
        <c:lblAlgn val="ctr"/>
        <c:lblOffset val="100"/>
        <c:noMultiLvlLbl val="0"/>
      </c:catAx>
      <c:valAx>
        <c:axId val="1755108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[$$-409]* #,##0_ ;_-[$$-409]* \-#,##0\ ;_-[$$-409]* &quot;-&quot;??_ ;_-@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18650608"/>
        <c:crosses val="autoZero"/>
        <c:crossBetween val="between"/>
        <c:dispUnits>
          <c:builtInUnit val="thousands"/>
          <c:dispUnitsLbl>
            <c:layout>
              <c:manualLayout>
                <c:xMode val="edge"/>
                <c:yMode val="edge"/>
                <c:x val="6.019248194185662E-3"/>
                <c:y val="0.35292507391074968"/>
              </c:manualLayout>
            </c:layout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 sz="1100" b="0">
                      <a:solidFill>
                        <a:sysClr val="windowText" lastClr="000000"/>
                      </a:solidFill>
                    </a:rPr>
                    <a:t>$'000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bg1">
          <a:lumMod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Incremental PW</a:t>
            </a:r>
            <a:r>
              <a:rPr lang="en-GB" baseline="0"/>
              <a:t> Installation Cost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Calculations!$T$128:$T$143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Calculations!$W$128:$W$143</c:f>
              <c:numCache>
                <c:formatCode>General</c:formatCode>
                <c:ptCount val="16"/>
                <c:pt idx="0">
                  <c:v>35</c:v>
                </c:pt>
                <c:pt idx="1">
                  <c:v>45.5</c:v>
                </c:pt>
                <c:pt idx="2">
                  <c:v>52.5</c:v>
                </c:pt>
                <c:pt idx="3">
                  <c:v>59.5</c:v>
                </c:pt>
                <c:pt idx="4">
                  <c:v>66.5</c:v>
                </c:pt>
                <c:pt idx="5">
                  <c:v>73.5</c:v>
                </c:pt>
                <c:pt idx="6">
                  <c:v>80.5</c:v>
                </c:pt>
                <c:pt idx="7">
                  <c:v>87.5</c:v>
                </c:pt>
                <c:pt idx="8">
                  <c:v>94.5</c:v>
                </c:pt>
                <c:pt idx="9">
                  <c:v>103.25</c:v>
                </c:pt>
                <c:pt idx="10">
                  <c:v>112</c:v>
                </c:pt>
                <c:pt idx="11">
                  <c:v>120.75</c:v>
                </c:pt>
                <c:pt idx="12">
                  <c:v>131.25</c:v>
                </c:pt>
                <c:pt idx="13">
                  <c:v>141.75</c:v>
                </c:pt>
                <c:pt idx="14">
                  <c:v>152.25</c:v>
                </c:pt>
                <c:pt idx="15">
                  <c:v>162.75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5B4-4C55-B6AB-D37833D5BC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6766447"/>
        <c:axId val="2039631167"/>
      </c:scatterChart>
      <c:valAx>
        <c:axId val="1926766447"/>
        <c:scaling>
          <c:orientation val="minMax"/>
          <c:max val="1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39631167"/>
        <c:crosses val="autoZero"/>
        <c:crossBetween val="midCat"/>
        <c:majorUnit val="1"/>
      </c:valAx>
      <c:valAx>
        <c:axId val="20396311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2676644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5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7" Type="http://schemas.openxmlformats.org/officeDocument/2006/relationships/image" Target="../media/image5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image" Target="../media/image4.png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6.emf"/><Relationship Id="rId1" Type="http://schemas.openxmlformats.org/officeDocument/2006/relationships/image" Target="../media/image1.png"/><Relationship Id="rId5" Type="http://schemas.openxmlformats.org/officeDocument/2006/relationships/image" Target="../media/image9.emf"/><Relationship Id="rId4" Type="http://schemas.openxmlformats.org/officeDocument/2006/relationships/image" Target="../media/image8.em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130968</xdr:colOff>
      <xdr:row>0</xdr:row>
      <xdr:rowOff>61662</xdr:rowOff>
    </xdr:from>
    <xdr:to>
      <xdr:col>9</xdr:col>
      <xdr:colOff>2303524</xdr:colOff>
      <xdr:row>0</xdr:row>
      <xdr:rowOff>441104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86812" y="61662"/>
          <a:ext cx="2172556" cy="379442"/>
        </a:xfrm>
        <a:prstGeom prst="rect">
          <a:avLst/>
        </a:prstGeom>
        <a:noFill/>
      </xdr:spPr>
    </xdr:pic>
    <xdr:clientData/>
  </xdr:twoCellAnchor>
  <xdr:twoCellAnchor>
    <xdr:from>
      <xdr:col>1</xdr:col>
      <xdr:colOff>95250</xdr:colOff>
      <xdr:row>2</xdr:row>
      <xdr:rowOff>64293</xdr:rowOff>
    </xdr:from>
    <xdr:to>
      <xdr:col>1</xdr:col>
      <xdr:colOff>707250</xdr:colOff>
      <xdr:row>4</xdr:row>
      <xdr:rowOff>30344</xdr:rowOff>
    </xdr:to>
    <xdr:sp macro="" textlink="">
      <xdr:nvSpPr>
        <xdr:cNvPr id="11" name="Rectangle: Diagonal Corners Snipped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273844" y="742949"/>
          <a:ext cx="612000" cy="323239"/>
        </a:xfrm>
        <a:prstGeom prst="snip2DiagRect">
          <a:avLst/>
        </a:prstGeom>
        <a:solidFill>
          <a:schemeClr val="bg1"/>
        </a:solidFill>
        <a:ln>
          <a:solidFill>
            <a:srgbClr val="00B5EC"/>
          </a:solidFill>
        </a:ln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 b="1">
              <a:solidFill>
                <a:sysClr val="windowText" lastClr="000000"/>
              </a:solidFill>
            </a:rPr>
            <a:t>Step 1</a:t>
          </a:r>
          <a:endParaRPr lang="en-GB" sz="1100">
            <a:solidFill>
              <a:sysClr val="windowText" lastClr="000000"/>
            </a:solidFill>
          </a:endParaRPr>
        </a:p>
      </xdr:txBody>
    </xdr:sp>
    <xdr:clientData/>
  </xdr:twoCellAnchor>
  <xdr:twoCellAnchor editAs="oneCell">
    <xdr:from>
      <xdr:col>6</xdr:col>
      <xdr:colOff>38100</xdr:colOff>
      <xdr:row>13</xdr:row>
      <xdr:rowOff>127000</xdr:rowOff>
    </xdr:from>
    <xdr:to>
      <xdr:col>6</xdr:col>
      <xdr:colOff>1270000</xdr:colOff>
      <xdr:row>15</xdr:row>
      <xdr:rowOff>76200</xdr:rowOff>
    </xdr:to>
    <xdr:sp macro="" textlink="">
      <xdr:nvSpPr>
        <xdr:cNvPr id="7173" name="CommandButton2" hidden="1">
          <a:extLst>
            <a:ext uri="{63B3BB69-23CF-44E3-9099-C40C66FF867C}">
              <a14:compatExt xmlns:a14="http://schemas.microsoft.com/office/drawing/2010/main" spid="_x0000_s7173"/>
            </a:ext>
            <a:ext uri="{FF2B5EF4-FFF2-40B4-BE49-F238E27FC236}">
              <a16:creationId xmlns:a16="http://schemas.microsoft.com/office/drawing/2014/main" id="{00000000-0008-0000-0100-0000051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177800</xdr:colOff>
      <xdr:row>13</xdr:row>
      <xdr:rowOff>152400</xdr:rowOff>
    </xdr:from>
    <xdr:to>
      <xdr:col>5</xdr:col>
      <xdr:colOff>0</xdr:colOff>
      <xdr:row>15</xdr:row>
      <xdr:rowOff>101600</xdr:rowOff>
    </xdr:to>
    <xdr:sp macro="" textlink="">
      <xdr:nvSpPr>
        <xdr:cNvPr id="7174" name="CommandButton3" hidden="1">
          <a:extLst>
            <a:ext uri="{63B3BB69-23CF-44E3-9099-C40C66FF867C}">
              <a14:compatExt xmlns:a14="http://schemas.microsoft.com/office/drawing/2010/main" spid="_x0000_s7174"/>
            </a:ext>
            <a:ext uri="{FF2B5EF4-FFF2-40B4-BE49-F238E27FC236}">
              <a16:creationId xmlns:a16="http://schemas.microsoft.com/office/drawing/2014/main" id="{00000000-0008-0000-0100-0000061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165100</xdr:colOff>
      <xdr:row>17</xdr:row>
      <xdr:rowOff>88900</xdr:rowOff>
    </xdr:from>
    <xdr:to>
      <xdr:col>4</xdr:col>
      <xdr:colOff>1377950</xdr:colOff>
      <xdr:row>19</xdr:row>
      <xdr:rowOff>101600</xdr:rowOff>
    </xdr:to>
    <xdr:sp macro="" textlink="">
      <xdr:nvSpPr>
        <xdr:cNvPr id="7175" name="CommandButton4" hidden="1">
          <a:extLst>
            <a:ext uri="{63B3BB69-23CF-44E3-9099-C40C66FF867C}">
              <a14:compatExt xmlns:a14="http://schemas.microsoft.com/office/drawing/2010/main" spid="_x0000_s7175"/>
            </a:ext>
            <a:ext uri="{FF2B5EF4-FFF2-40B4-BE49-F238E27FC236}">
              <a16:creationId xmlns:a16="http://schemas.microsoft.com/office/drawing/2014/main" id="{00000000-0008-0000-0100-0000071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8</xdr:col>
      <xdr:colOff>444500</xdr:colOff>
      <xdr:row>2</xdr:row>
      <xdr:rowOff>0</xdr:rowOff>
    </xdr:from>
    <xdr:to>
      <xdr:col>9</xdr:col>
      <xdr:colOff>1283494</xdr:colOff>
      <xdr:row>5</xdr:row>
      <xdr:rowOff>50800</xdr:rowOff>
    </xdr:to>
    <xdr:sp macro="" textlink="">
      <xdr:nvSpPr>
        <xdr:cNvPr id="7179" name="CommandButton6" hidden="1">
          <a:extLst>
            <a:ext uri="{63B3BB69-23CF-44E3-9099-C40C66FF867C}">
              <a14:compatExt xmlns:a14="http://schemas.microsoft.com/office/drawing/2010/main" spid="_x0000_s7179"/>
            </a:ext>
            <a:ext uri="{FF2B5EF4-FFF2-40B4-BE49-F238E27FC236}">
              <a16:creationId xmlns:a16="http://schemas.microsoft.com/office/drawing/2014/main" id="{00000000-0008-0000-0100-00000B1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1990545</xdr:colOff>
      <xdr:row>13</xdr:row>
      <xdr:rowOff>30758</xdr:rowOff>
    </xdr:from>
    <xdr:to>
      <xdr:col>3</xdr:col>
      <xdr:colOff>6964</xdr:colOff>
      <xdr:row>15</xdr:row>
      <xdr:rowOff>162929</xdr:rowOff>
    </xdr:to>
    <xdr:pic>
      <xdr:nvPicPr>
        <xdr:cNvPr id="37" name="Graphic 36" descr="Right pointing backhand index ">
          <a:extLs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2914823" y="2373202"/>
          <a:ext cx="500063" cy="513171"/>
        </a:xfrm>
        <a:prstGeom prst="rect">
          <a:avLst/>
        </a:prstGeom>
      </xdr:spPr>
    </xdr:pic>
    <xdr:clientData/>
  </xdr:twoCellAnchor>
  <xdr:twoCellAnchor>
    <xdr:from>
      <xdr:col>1</xdr:col>
      <xdr:colOff>105125</xdr:colOff>
      <xdr:row>5</xdr:row>
      <xdr:rowOff>105291</xdr:rowOff>
    </xdr:from>
    <xdr:to>
      <xdr:col>1</xdr:col>
      <xdr:colOff>725714</xdr:colOff>
      <xdr:row>7</xdr:row>
      <xdr:rowOff>99786</xdr:rowOff>
    </xdr:to>
    <xdr:sp macro="" textlink="">
      <xdr:nvSpPr>
        <xdr:cNvPr id="40" name="Rectangle: Diagonal Corners Snipped 39">
          <a:extLs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SpPr/>
      </xdr:nvSpPr>
      <xdr:spPr>
        <a:xfrm>
          <a:off x="304696" y="1311791"/>
          <a:ext cx="620589" cy="357352"/>
        </a:xfrm>
        <a:prstGeom prst="snip2DiagRect">
          <a:avLst/>
        </a:prstGeom>
        <a:solidFill>
          <a:schemeClr val="bg1"/>
        </a:solidFill>
        <a:ln>
          <a:solidFill>
            <a:srgbClr val="00B5EC"/>
          </a:solidFill>
        </a:ln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 b="1">
              <a:solidFill>
                <a:sysClr val="windowText" lastClr="000000"/>
              </a:solidFill>
            </a:rPr>
            <a:t>Step 2</a:t>
          </a:r>
          <a:endParaRPr lang="en-GB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</xdr:col>
      <xdr:colOff>98069</xdr:colOff>
      <xdr:row>13</xdr:row>
      <xdr:rowOff>46729</xdr:rowOff>
    </xdr:from>
    <xdr:to>
      <xdr:col>1</xdr:col>
      <xdr:colOff>710069</xdr:colOff>
      <xdr:row>15</xdr:row>
      <xdr:rowOff>61729</xdr:rowOff>
    </xdr:to>
    <xdr:sp macro="" textlink="">
      <xdr:nvSpPr>
        <xdr:cNvPr id="41" name="Rectangle: Diagonal Corners Snipped 40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SpPr/>
      </xdr:nvSpPr>
      <xdr:spPr>
        <a:xfrm>
          <a:off x="281513" y="2734896"/>
          <a:ext cx="612000" cy="396000"/>
        </a:xfrm>
        <a:prstGeom prst="snip2DiagRect">
          <a:avLst/>
        </a:prstGeom>
        <a:solidFill>
          <a:schemeClr val="bg1"/>
        </a:solidFill>
        <a:ln>
          <a:solidFill>
            <a:srgbClr val="00B5EC"/>
          </a:solidFill>
        </a:ln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GB" sz="11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Step 3</a:t>
          </a:r>
        </a:p>
      </xdr:txBody>
    </xdr:sp>
    <xdr:clientData/>
  </xdr:twoCellAnchor>
  <xdr:twoCellAnchor>
    <xdr:from>
      <xdr:col>1</xdr:col>
      <xdr:colOff>98070</xdr:colOff>
      <xdr:row>16</xdr:row>
      <xdr:rowOff>865</xdr:rowOff>
    </xdr:from>
    <xdr:to>
      <xdr:col>2</xdr:col>
      <xdr:colOff>2421114</xdr:colOff>
      <xdr:row>17</xdr:row>
      <xdr:rowOff>4747</xdr:rowOff>
    </xdr:to>
    <xdr:sp macro="" textlink="">
      <xdr:nvSpPr>
        <xdr:cNvPr id="42" name="Rectangle: Diagonal Corners Snipped 41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/>
      </xdr:nvSpPr>
      <xdr:spPr>
        <a:xfrm>
          <a:off x="277987" y="3091198"/>
          <a:ext cx="3042710" cy="183799"/>
        </a:xfrm>
        <a:prstGeom prst="snip2DiagRect">
          <a:avLst/>
        </a:prstGeom>
        <a:noFill/>
        <a:ln>
          <a:solidFill>
            <a:schemeClr val="bg1">
              <a:lumMod val="75000"/>
            </a:schemeClr>
          </a:solidFill>
        </a:ln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GB" sz="1200" b="0">
              <a:solidFill>
                <a:schemeClr val="bg1"/>
              </a:solidFill>
              <a:latin typeface="+mj-lt"/>
            </a:rPr>
            <a:t>Need</a:t>
          </a:r>
          <a:r>
            <a:rPr lang="en-GB" sz="1200" b="0" baseline="0">
              <a:solidFill>
                <a:schemeClr val="bg1"/>
              </a:solidFill>
              <a:latin typeface="+mj-lt"/>
            </a:rPr>
            <a:t> an upgrade? Follow Step 4 onwards</a:t>
          </a:r>
          <a:endParaRPr lang="en-GB" sz="1200" b="0">
            <a:solidFill>
              <a:schemeClr val="bg1"/>
            </a:solidFill>
            <a:latin typeface="+mj-lt"/>
          </a:endParaRPr>
        </a:p>
      </xdr:txBody>
    </xdr:sp>
    <xdr:clientData/>
  </xdr:twoCellAnchor>
  <xdr:twoCellAnchor>
    <xdr:from>
      <xdr:col>1</xdr:col>
      <xdr:colOff>98070</xdr:colOff>
      <xdr:row>17</xdr:row>
      <xdr:rowOff>132103</xdr:rowOff>
    </xdr:from>
    <xdr:to>
      <xdr:col>1</xdr:col>
      <xdr:colOff>710070</xdr:colOff>
      <xdr:row>19</xdr:row>
      <xdr:rowOff>210603</xdr:rowOff>
    </xdr:to>
    <xdr:sp macro="" textlink="">
      <xdr:nvSpPr>
        <xdr:cNvPr id="43" name="Rectangle: Diagonal Corners Snipped 42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SpPr/>
      </xdr:nvSpPr>
      <xdr:spPr>
        <a:xfrm>
          <a:off x="281514" y="3575214"/>
          <a:ext cx="612000" cy="396000"/>
        </a:xfrm>
        <a:prstGeom prst="snip2DiagRect">
          <a:avLst/>
        </a:prstGeom>
        <a:solidFill>
          <a:schemeClr val="bg1"/>
        </a:solidFill>
        <a:ln>
          <a:solidFill>
            <a:srgbClr val="00B5EC"/>
          </a:solidFill>
        </a:ln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 b="1">
              <a:solidFill>
                <a:sysClr val="windowText" lastClr="000000"/>
              </a:solidFill>
            </a:rPr>
            <a:t>Step 4</a:t>
          </a:r>
          <a:endParaRPr lang="en-GB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</xdr:col>
      <xdr:colOff>98070</xdr:colOff>
      <xdr:row>21</xdr:row>
      <xdr:rowOff>117990</xdr:rowOff>
    </xdr:from>
    <xdr:to>
      <xdr:col>1</xdr:col>
      <xdr:colOff>720370</xdr:colOff>
      <xdr:row>24</xdr:row>
      <xdr:rowOff>47435</xdr:rowOff>
    </xdr:to>
    <xdr:sp macro="" textlink="">
      <xdr:nvSpPr>
        <xdr:cNvPr id="44" name="Rectangle: Diagonal Corners Snipped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/>
      </xdr:nvSpPr>
      <xdr:spPr>
        <a:xfrm>
          <a:off x="281514" y="4153768"/>
          <a:ext cx="622300" cy="395111"/>
        </a:xfrm>
        <a:prstGeom prst="snip2DiagRect">
          <a:avLst/>
        </a:prstGeom>
        <a:solidFill>
          <a:schemeClr val="bg1"/>
        </a:solidFill>
        <a:ln>
          <a:solidFill>
            <a:srgbClr val="00B5EC"/>
          </a:solidFill>
        </a:ln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 b="1">
              <a:solidFill>
                <a:sysClr val="windowText" lastClr="000000"/>
              </a:solidFill>
            </a:rPr>
            <a:t>Step 5</a:t>
          </a:r>
          <a:endParaRPr lang="en-GB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</xdr:col>
      <xdr:colOff>88200</xdr:colOff>
      <xdr:row>31</xdr:row>
      <xdr:rowOff>143390</xdr:rowOff>
    </xdr:from>
    <xdr:to>
      <xdr:col>2</xdr:col>
      <xdr:colOff>2441223</xdr:colOff>
      <xdr:row>34</xdr:row>
      <xdr:rowOff>84668</xdr:rowOff>
    </xdr:to>
    <xdr:sp macro="" textlink="">
      <xdr:nvSpPr>
        <xdr:cNvPr id="46" name="Rectangle: Diagonal Corners Snipped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/>
      </xdr:nvSpPr>
      <xdr:spPr>
        <a:xfrm>
          <a:off x="271644" y="6077112"/>
          <a:ext cx="3093857" cy="555112"/>
        </a:xfrm>
        <a:prstGeom prst="snip2DiagRect">
          <a:avLst/>
        </a:prstGeom>
        <a:noFill/>
        <a:ln>
          <a:solidFill>
            <a:srgbClr val="00B5EC"/>
          </a:solidFill>
        </a:ln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en-GB" sz="1100" b="0">
              <a:solidFill>
                <a:schemeClr val="bg1"/>
              </a:solidFill>
              <a:latin typeface="+mj-lt"/>
              <a:ea typeface="+mn-ea"/>
              <a:cs typeface="+mn-cs"/>
            </a:rPr>
            <a:t>Need another upgrade? Follow Steps 4.2, 4.3, 4.4, 4.5 respectively</a:t>
          </a:r>
        </a:p>
      </xdr:txBody>
    </xdr:sp>
    <xdr:clientData/>
  </xdr:twoCellAnchor>
  <xdr:twoCellAnchor>
    <xdr:from>
      <xdr:col>2</xdr:col>
      <xdr:colOff>31748</xdr:colOff>
      <xdr:row>2</xdr:row>
      <xdr:rowOff>71510</xdr:rowOff>
    </xdr:from>
    <xdr:to>
      <xdr:col>2</xdr:col>
      <xdr:colOff>2099026</xdr:colOff>
      <xdr:row>3</xdr:row>
      <xdr:rowOff>137654</xdr:rowOff>
    </xdr:to>
    <xdr:sp macro="" textlink="">
      <xdr:nvSpPr>
        <xdr:cNvPr id="47" name="Arrow: Pentagon 46">
          <a:extLst>
            <a:ext uri="{FF2B5EF4-FFF2-40B4-BE49-F238E27FC236}">
              <a16:creationId xmlns:a16="http://schemas.microsoft.com/office/drawing/2014/main" id="{00000000-0008-0000-0100-00002F000000}"/>
            </a:ext>
          </a:extLst>
        </xdr:cNvPr>
        <xdr:cNvSpPr/>
      </xdr:nvSpPr>
      <xdr:spPr>
        <a:xfrm>
          <a:off x="924717" y="750166"/>
          <a:ext cx="2067278" cy="244738"/>
        </a:xfrm>
        <a:prstGeom prst="homePlate">
          <a:avLst/>
        </a:prstGeom>
        <a:noFill/>
        <a:ln>
          <a:solidFill>
            <a:schemeClr val="bg1">
              <a:lumMod val="85000"/>
            </a:schemeClr>
          </a:solidFill>
        </a:ln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>
              <a:solidFill>
                <a:schemeClr val="bg1"/>
              </a:solidFill>
              <a:latin typeface="+mj-lt"/>
            </a:rPr>
            <a:t>Print project length in cell</a:t>
          </a:r>
          <a:r>
            <a:rPr lang="en-GB" sz="1100" baseline="0">
              <a:solidFill>
                <a:schemeClr val="bg1"/>
              </a:solidFill>
              <a:latin typeface="+mj-lt"/>
            </a:rPr>
            <a:t> "F3"</a:t>
          </a:r>
          <a:endParaRPr lang="en-GB" sz="1100">
            <a:solidFill>
              <a:schemeClr val="bg1"/>
            </a:solidFill>
            <a:latin typeface="+mj-lt"/>
          </a:endParaRPr>
        </a:p>
      </xdr:txBody>
    </xdr:sp>
    <xdr:clientData/>
  </xdr:twoCellAnchor>
  <xdr:twoCellAnchor>
    <xdr:from>
      <xdr:col>2</xdr:col>
      <xdr:colOff>28925</xdr:colOff>
      <xdr:row>5</xdr:row>
      <xdr:rowOff>105292</xdr:rowOff>
    </xdr:from>
    <xdr:to>
      <xdr:col>2</xdr:col>
      <xdr:colOff>2096203</xdr:colOff>
      <xdr:row>8</xdr:row>
      <xdr:rowOff>58723</xdr:rowOff>
    </xdr:to>
    <xdr:sp macro="" textlink="">
      <xdr:nvSpPr>
        <xdr:cNvPr id="48" name="Arrow: Pentagon 47">
          <a:extLst>
            <a:ext uri="{FF2B5EF4-FFF2-40B4-BE49-F238E27FC236}">
              <a16:creationId xmlns:a16="http://schemas.microsoft.com/office/drawing/2014/main" id="{00000000-0008-0000-0100-000030000000}"/>
            </a:ext>
          </a:extLst>
        </xdr:cNvPr>
        <xdr:cNvSpPr/>
      </xdr:nvSpPr>
      <xdr:spPr>
        <a:xfrm>
          <a:off x="953203" y="1036625"/>
          <a:ext cx="2067278" cy="482598"/>
        </a:xfrm>
        <a:prstGeom prst="homePlate">
          <a:avLst/>
        </a:prstGeom>
        <a:noFill/>
        <a:ln>
          <a:solidFill>
            <a:schemeClr val="bg1">
              <a:lumMod val="85000"/>
            </a:schemeClr>
          </a:solidFill>
        </a:ln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GB" sz="1100">
              <a:solidFill>
                <a:schemeClr val="bg1"/>
              </a:solidFill>
              <a:latin typeface="+mj-lt"/>
            </a:rPr>
            <a:t>Select</a:t>
          </a:r>
          <a:r>
            <a:rPr lang="en-GB" sz="1100" baseline="0">
              <a:solidFill>
                <a:schemeClr val="bg1"/>
              </a:solidFill>
              <a:latin typeface="+mj-lt"/>
            </a:rPr>
            <a:t> variables for std conduit in cells "F7 to F13"</a:t>
          </a:r>
          <a:endParaRPr lang="en-GB" sz="1100">
            <a:solidFill>
              <a:schemeClr val="bg1"/>
            </a:solidFill>
            <a:latin typeface="+mj-lt"/>
          </a:endParaRPr>
        </a:p>
      </xdr:txBody>
    </xdr:sp>
    <xdr:clientData/>
  </xdr:twoCellAnchor>
  <xdr:twoCellAnchor>
    <xdr:from>
      <xdr:col>2</xdr:col>
      <xdr:colOff>40214</xdr:colOff>
      <xdr:row>8</xdr:row>
      <xdr:rowOff>158914</xdr:rowOff>
    </xdr:from>
    <xdr:to>
      <xdr:col>2</xdr:col>
      <xdr:colOff>2107492</xdr:colOff>
      <xdr:row>11</xdr:row>
      <xdr:rowOff>112345</xdr:rowOff>
    </xdr:to>
    <xdr:sp macro="" textlink="">
      <xdr:nvSpPr>
        <xdr:cNvPr id="49" name="Arrow: Pentagon 48">
          <a:extLst>
            <a:ext uri="{FF2B5EF4-FFF2-40B4-BE49-F238E27FC236}">
              <a16:creationId xmlns:a16="http://schemas.microsoft.com/office/drawing/2014/main" id="{00000000-0008-0000-0100-000031000000}"/>
            </a:ext>
          </a:extLst>
        </xdr:cNvPr>
        <xdr:cNvSpPr/>
      </xdr:nvSpPr>
      <xdr:spPr>
        <a:xfrm>
          <a:off x="964492" y="1619414"/>
          <a:ext cx="2067278" cy="482598"/>
        </a:xfrm>
        <a:prstGeom prst="homePlate">
          <a:avLst/>
        </a:prstGeom>
        <a:noFill/>
        <a:ln>
          <a:solidFill>
            <a:schemeClr val="bg1">
              <a:lumMod val="85000"/>
            </a:schemeClr>
          </a:solidFill>
        </a:ln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GB" sz="1100">
              <a:solidFill>
                <a:schemeClr val="bg1"/>
              </a:solidFill>
              <a:latin typeface="+mj-lt"/>
            </a:rPr>
            <a:t>Select</a:t>
          </a:r>
          <a:r>
            <a:rPr lang="en-GB" sz="1100" baseline="0">
              <a:solidFill>
                <a:schemeClr val="bg1"/>
              </a:solidFill>
              <a:latin typeface="+mj-lt"/>
            </a:rPr>
            <a:t> variables for FuturePath in cells "G7 to G13"</a:t>
          </a:r>
          <a:endParaRPr lang="en-GB" sz="1100">
            <a:solidFill>
              <a:schemeClr val="bg1"/>
            </a:solidFill>
            <a:latin typeface="+mj-lt"/>
          </a:endParaRPr>
        </a:p>
      </xdr:txBody>
    </xdr:sp>
    <xdr:clientData/>
  </xdr:twoCellAnchor>
  <xdr:twoCellAnchor>
    <xdr:from>
      <xdr:col>2</xdr:col>
      <xdr:colOff>43039</xdr:colOff>
      <xdr:row>13</xdr:row>
      <xdr:rowOff>204068</xdr:rowOff>
    </xdr:from>
    <xdr:to>
      <xdr:col>2</xdr:col>
      <xdr:colOff>2110317</xdr:colOff>
      <xdr:row>15</xdr:row>
      <xdr:rowOff>62955</xdr:rowOff>
    </xdr:to>
    <xdr:sp macro="" textlink="">
      <xdr:nvSpPr>
        <xdr:cNvPr id="50" name="Arrow: Pentagon 49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SpPr/>
      </xdr:nvSpPr>
      <xdr:spPr>
        <a:xfrm>
          <a:off x="967317" y="2546512"/>
          <a:ext cx="2067278" cy="218721"/>
        </a:xfrm>
        <a:prstGeom prst="homePlate">
          <a:avLst/>
        </a:prstGeom>
        <a:noFill/>
        <a:ln>
          <a:solidFill>
            <a:schemeClr val="bg1">
              <a:lumMod val="85000"/>
            </a:schemeClr>
          </a:solidFill>
        </a:ln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>
              <a:solidFill>
                <a:schemeClr val="bg1"/>
              </a:solidFill>
              <a:latin typeface="+mj-lt"/>
            </a:rPr>
            <a:t>For</a:t>
          </a:r>
          <a:r>
            <a:rPr lang="en-GB" sz="1100" baseline="0">
              <a:solidFill>
                <a:schemeClr val="bg1"/>
              </a:solidFill>
              <a:latin typeface="+mj-lt"/>
            </a:rPr>
            <a:t> cost analysis</a:t>
          </a:r>
          <a:endParaRPr lang="en-GB" sz="1100">
            <a:solidFill>
              <a:schemeClr val="bg1"/>
            </a:solidFill>
            <a:latin typeface="+mj-lt"/>
          </a:endParaRPr>
        </a:p>
      </xdr:txBody>
    </xdr:sp>
    <xdr:clientData/>
  </xdr:twoCellAnchor>
  <xdr:twoCellAnchor>
    <xdr:from>
      <xdr:col>2</xdr:col>
      <xdr:colOff>38806</xdr:colOff>
      <xdr:row>17</xdr:row>
      <xdr:rowOff>136333</xdr:rowOff>
    </xdr:from>
    <xdr:to>
      <xdr:col>2</xdr:col>
      <xdr:colOff>2106084</xdr:colOff>
      <xdr:row>19</xdr:row>
      <xdr:rowOff>37554</xdr:rowOff>
    </xdr:to>
    <xdr:sp macro="" textlink="">
      <xdr:nvSpPr>
        <xdr:cNvPr id="51" name="Arrow: Pentagon 50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SpPr/>
      </xdr:nvSpPr>
      <xdr:spPr>
        <a:xfrm>
          <a:off x="963084" y="3367777"/>
          <a:ext cx="2067278" cy="218721"/>
        </a:xfrm>
        <a:prstGeom prst="homePlate">
          <a:avLst/>
        </a:prstGeom>
        <a:noFill/>
        <a:ln>
          <a:solidFill>
            <a:schemeClr val="bg1">
              <a:lumMod val="85000"/>
            </a:schemeClr>
          </a:solidFill>
        </a:ln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>
              <a:solidFill>
                <a:schemeClr val="bg1"/>
              </a:solidFill>
              <a:latin typeface="+mj-lt"/>
            </a:rPr>
            <a:t>To</a:t>
          </a:r>
          <a:r>
            <a:rPr lang="en-GB" sz="1100" baseline="0">
              <a:solidFill>
                <a:schemeClr val="bg1"/>
              </a:solidFill>
              <a:latin typeface="+mj-lt"/>
            </a:rPr>
            <a:t> select upgrade options</a:t>
          </a:r>
          <a:endParaRPr lang="en-GB" sz="1100">
            <a:solidFill>
              <a:schemeClr val="bg1"/>
            </a:solidFill>
            <a:latin typeface="+mj-lt"/>
          </a:endParaRPr>
        </a:p>
      </xdr:txBody>
    </xdr:sp>
    <xdr:clientData/>
  </xdr:twoCellAnchor>
  <xdr:twoCellAnchor>
    <xdr:from>
      <xdr:col>2</xdr:col>
      <xdr:colOff>14817</xdr:colOff>
      <xdr:row>21</xdr:row>
      <xdr:rowOff>126455</xdr:rowOff>
    </xdr:from>
    <xdr:to>
      <xdr:col>2</xdr:col>
      <xdr:colOff>2082095</xdr:colOff>
      <xdr:row>23</xdr:row>
      <xdr:rowOff>34732</xdr:rowOff>
    </xdr:to>
    <xdr:sp macro="" textlink="">
      <xdr:nvSpPr>
        <xdr:cNvPr id="52" name="Arrow: Pentagon 51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SpPr/>
      </xdr:nvSpPr>
      <xdr:spPr>
        <a:xfrm>
          <a:off x="939095" y="4162233"/>
          <a:ext cx="2067278" cy="218721"/>
        </a:xfrm>
        <a:prstGeom prst="homePlate">
          <a:avLst/>
        </a:prstGeom>
        <a:noFill/>
        <a:ln>
          <a:solidFill>
            <a:schemeClr val="bg1">
              <a:lumMod val="85000"/>
            </a:schemeClr>
          </a:solidFill>
        </a:ln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 baseline="0">
              <a:solidFill>
                <a:schemeClr val="bg1"/>
              </a:solidFill>
              <a:latin typeface="+mj-lt"/>
            </a:rPr>
            <a:t>Select year of upgrade</a:t>
          </a:r>
          <a:endParaRPr lang="en-GB" sz="1100">
            <a:solidFill>
              <a:schemeClr val="bg1"/>
            </a:solidFill>
            <a:latin typeface="+mj-lt"/>
          </a:endParaRPr>
        </a:p>
      </xdr:txBody>
    </xdr:sp>
    <xdr:clientData/>
  </xdr:twoCellAnchor>
  <xdr:twoCellAnchor>
    <xdr:from>
      <xdr:col>1</xdr:col>
      <xdr:colOff>731662</xdr:colOff>
      <xdr:row>25</xdr:row>
      <xdr:rowOff>60133</xdr:rowOff>
    </xdr:from>
    <xdr:to>
      <xdr:col>2</xdr:col>
      <xdr:colOff>2058106</xdr:colOff>
      <xdr:row>26</xdr:row>
      <xdr:rowOff>123632</xdr:rowOff>
    </xdr:to>
    <xdr:sp macro="" textlink="">
      <xdr:nvSpPr>
        <xdr:cNvPr id="53" name="Arrow: Pentagon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SpPr/>
      </xdr:nvSpPr>
      <xdr:spPr>
        <a:xfrm>
          <a:off x="915106" y="4716800"/>
          <a:ext cx="2067278" cy="218721"/>
        </a:xfrm>
        <a:prstGeom prst="homePlate">
          <a:avLst/>
        </a:prstGeom>
        <a:noFill/>
        <a:ln>
          <a:solidFill>
            <a:schemeClr val="bg1">
              <a:lumMod val="85000"/>
            </a:schemeClr>
          </a:solidFill>
        </a:ln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 baseline="0">
              <a:solidFill>
                <a:schemeClr val="bg1"/>
              </a:solidFill>
              <a:latin typeface="+mj-lt"/>
            </a:rPr>
            <a:t>Then, go to Dashboard</a:t>
          </a:r>
          <a:endParaRPr lang="en-GB" sz="1100">
            <a:solidFill>
              <a:schemeClr val="bg1"/>
            </a:solidFill>
            <a:latin typeface="+mj-lt"/>
          </a:endParaRPr>
        </a:p>
      </xdr:txBody>
    </xdr:sp>
    <xdr:clientData/>
  </xdr:twoCellAnchor>
  <xdr:twoCellAnchor>
    <xdr:from>
      <xdr:col>1</xdr:col>
      <xdr:colOff>239449</xdr:colOff>
      <xdr:row>1</xdr:row>
      <xdr:rowOff>13665</xdr:rowOff>
    </xdr:from>
    <xdr:to>
      <xdr:col>2</xdr:col>
      <xdr:colOff>2186782</xdr:colOff>
      <xdr:row>2</xdr:row>
      <xdr:rowOff>11020</xdr:rowOff>
    </xdr:to>
    <xdr:sp macro="" textlink="">
      <xdr:nvSpPr>
        <xdr:cNvPr id="3" name="Rectangle: Diagonal Corners Snipped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418043" y="478009"/>
          <a:ext cx="2661708" cy="211667"/>
        </a:xfrm>
        <a:prstGeom prst="snip2DiagRect">
          <a:avLst/>
        </a:prstGeom>
        <a:solidFill>
          <a:schemeClr val="accent2"/>
        </a:solidFill>
        <a:ln>
          <a:solidFill>
            <a:schemeClr val="accent2"/>
          </a:solidFill>
        </a:ln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400" b="1">
              <a:latin typeface="+mn-lt"/>
            </a:rPr>
            <a:t>INSTRUCTION PANAL</a:t>
          </a:r>
        </a:p>
      </xdr:txBody>
    </xdr:sp>
    <xdr:clientData/>
  </xdr:twoCellAnchor>
  <xdr:twoCellAnchor>
    <xdr:from>
      <xdr:col>2</xdr:col>
      <xdr:colOff>2415116</xdr:colOff>
      <xdr:row>0</xdr:row>
      <xdr:rowOff>49389</xdr:rowOff>
    </xdr:from>
    <xdr:to>
      <xdr:col>6</xdr:col>
      <xdr:colOff>1340556</xdr:colOff>
      <xdr:row>0</xdr:row>
      <xdr:rowOff>416719</xdr:rowOff>
    </xdr:to>
    <xdr:sp macro="" textlink="">
      <xdr:nvSpPr>
        <xdr:cNvPr id="4" name="Rectangle: Diagonal Corners Snipped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3308085" y="49389"/>
          <a:ext cx="4283252" cy="367330"/>
        </a:xfrm>
        <a:prstGeom prst="snip2DiagRect">
          <a:avLst/>
        </a:prstGeom>
        <a:solidFill>
          <a:schemeClr val="tx1">
            <a:lumMod val="85000"/>
            <a:lumOff val="15000"/>
          </a:schemeClr>
        </a:solidFill>
        <a:ln>
          <a:solidFill>
            <a:schemeClr val="tx1">
              <a:lumMod val="85000"/>
              <a:lumOff val="15000"/>
            </a:schemeClr>
          </a:solidFill>
        </a:ln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400" b="1">
              <a:latin typeface="+mn-lt"/>
            </a:rPr>
            <a:t>Financial Model Data Selection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28575</xdr:colOff>
          <xdr:row>13</xdr:row>
          <xdr:rowOff>114300</xdr:rowOff>
        </xdr:from>
        <xdr:to>
          <xdr:col>4</xdr:col>
          <xdr:colOff>1533525</xdr:colOff>
          <xdr:row>15</xdr:row>
          <xdr:rowOff>123825</xdr:rowOff>
        </xdr:to>
        <xdr:sp macro="" textlink="">
          <xdr:nvSpPr>
            <xdr:cNvPr id="7184" name="Button 16" hidden="1">
              <a:extLst>
                <a:ext uri="{63B3BB69-23CF-44E3-9099-C40C66FF867C}">
                  <a14:compatExt spid="_x0000_s7184"/>
                </a:ext>
                <a:ext uri="{FF2B5EF4-FFF2-40B4-BE49-F238E27FC236}">
                  <a16:creationId xmlns:a16="http://schemas.microsoft.com/office/drawing/2014/main" id="{00000000-0008-0000-0100-000010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Dashboard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17</xdr:row>
          <xdr:rowOff>114300</xdr:rowOff>
        </xdr:from>
        <xdr:to>
          <xdr:col>4</xdr:col>
          <xdr:colOff>1562100</xdr:colOff>
          <xdr:row>19</xdr:row>
          <xdr:rowOff>190500</xdr:rowOff>
        </xdr:to>
        <xdr:sp macro="" textlink="">
          <xdr:nvSpPr>
            <xdr:cNvPr id="7185" name="Button 17" hidden="1">
              <a:extLst>
                <a:ext uri="{63B3BB69-23CF-44E3-9099-C40C66FF867C}">
                  <a14:compatExt spid="_x0000_s7185"/>
                </a:ext>
                <a:ext uri="{FF2B5EF4-FFF2-40B4-BE49-F238E27FC236}">
                  <a16:creationId xmlns:a16="http://schemas.microsoft.com/office/drawing/2014/main" id="{00000000-0008-0000-0100-00001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Upgrades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228600</xdr:colOff>
          <xdr:row>10</xdr:row>
          <xdr:rowOff>28575</xdr:rowOff>
        </xdr:from>
        <xdr:to>
          <xdr:col>9</xdr:col>
          <xdr:colOff>2171700</xdr:colOff>
          <xdr:row>13</xdr:row>
          <xdr:rowOff>66675</xdr:rowOff>
        </xdr:to>
        <xdr:sp macro="" textlink="">
          <xdr:nvSpPr>
            <xdr:cNvPr id="7192" name="Button 24" hidden="1">
              <a:extLst>
                <a:ext uri="{63B3BB69-23CF-44E3-9099-C40C66FF867C}">
                  <a14:compatExt spid="_x0000_s7192"/>
                </a:ext>
                <a:ext uri="{FF2B5EF4-FFF2-40B4-BE49-F238E27FC236}">
                  <a16:creationId xmlns:a16="http://schemas.microsoft.com/office/drawing/2014/main" id="{00000000-0008-0000-0100-00001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66CC"/>
                  </a:solidFill>
                  <a:latin typeface="Calibri"/>
                  <a:cs typeface="Calibri"/>
                </a:rPr>
                <a:t>Cost Elements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219075</xdr:colOff>
          <xdr:row>4</xdr:row>
          <xdr:rowOff>152400</xdr:rowOff>
        </xdr:from>
        <xdr:to>
          <xdr:col>9</xdr:col>
          <xdr:colOff>2162175</xdr:colOff>
          <xdr:row>8</xdr:row>
          <xdr:rowOff>47625</xdr:rowOff>
        </xdr:to>
        <xdr:sp macro="" textlink="">
          <xdr:nvSpPr>
            <xdr:cNvPr id="7199" name="Button 31" hidden="1">
              <a:extLst>
                <a:ext uri="{63B3BB69-23CF-44E3-9099-C40C66FF867C}">
                  <a14:compatExt spid="_x0000_s7199"/>
                </a:ext>
                <a:ext uri="{FF2B5EF4-FFF2-40B4-BE49-F238E27FC236}">
                  <a16:creationId xmlns:a16="http://schemas.microsoft.com/office/drawing/2014/main" id="{00000000-0008-0000-0100-00001F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66CC"/>
                  </a:solidFill>
                  <a:latin typeface="Calibri"/>
                  <a:cs typeface="Calibri"/>
                </a:rPr>
                <a:t>Reset Model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34662</xdr:colOff>
      <xdr:row>1</xdr:row>
      <xdr:rowOff>23192</xdr:rowOff>
    </xdr:from>
    <xdr:to>
      <xdr:col>9</xdr:col>
      <xdr:colOff>2345532</xdr:colOff>
      <xdr:row>2</xdr:row>
      <xdr:rowOff>2</xdr:rowOff>
    </xdr:to>
    <xdr:sp macro="" textlink="">
      <xdr:nvSpPr>
        <xdr:cNvPr id="35" name="Rectangle: Diagonal Corners Snipped 34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SpPr/>
      </xdr:nvSpPr>
      <xdr:spPr>
        <a:xfrm>
          <a:off x="8690506" y="487536"/>
          <a:ext cx="2310870" cy="191122"/>
        </a:xfrm>
        <a:prstGeom prst="snip2DiagRect">
          <a:avLst/>
        </a:prstGeom>
        <a:solidFill>
          <a:schemeClr val="accent2"/>
        </a:solidFill>
        <a:ln>
          <a:solidFill>
            <a:schemeClr val="accent2"/>
          </a:solidFill>
        </a:ln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400" b="1">
              <a:latin typeface="+mn-lt"/>
            </a:rPr>
            <a:t>NAVIGATION PANAL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257175</xdr:colOff>
          <xdr:row>15</xdr:row>
          <xdr:rowOff>28575</xdr:rowOff>
        </xdr:from>
        <xdr:to>
          <xdr:col>9</xdr:col>
          <xdr:colOff>2181225</xdr:colOff>
          <xdr:row>18</xdr:row>
          <xdr:rowOff>38100</xdr:rowOff>
        </xdr:to>
        <xdr:sp macro="" textlink="">
          <xdr:nvSpPr>
            <xdr:cNvPr id="7207" name="Button 39" hidden="1">
              <a:extLst>
                <a:ext uri="{63B3BB69-23CF-44E3-9099-C40C66FF867C}">
                  <a14:compatExt spid="_x0000_s7207"/>
                </a:ext>
                <a:ext uri="{FF2B5EF4-FFF2-40B4-BE49-F238E27FC236}">
                  <a16:creationId xmlns:a16="http://schemas.microsoft.com/office/drawing/2014/main" id="{00000000-0008-0000-0100-00002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66CC"/>
                  </a:solidFill>
                  <a:latin typeface="Calibri"/>
                  <a:cs typeface="Calibri"/>
                </a:rPr>
                <a:t>Calculations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57150</xdr:colOff>
      <xdr:row>3</xdr:row>
      <xdr:rowOff>19050</xdr:rowOff>
    </xdr:from>
    <xdr:to>
      <xdr:col>1</xdr:col>
      <xdr:colOff>679450</xdr:colOff>
      <xdr:row>6</xdr:row>
      <xdr:rowOff>114300</xdr:rowOff>
    </xdr:to>
    <xdr:sp macro="" textlink="">
      <xdr:nvSpPr>
        <xdr:cNvPr id="3" name="Rectangle: Diagonal Corners Snipped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241300" y="647700"/>
          <a:ext cx="622300" cy="552450"/>
        </a:xfrm>
        <a:prstGeom prst="snip2DiagRect">
          <a:avLst/>
        </a:prstGeom>
        <a:solidFill>
          <a:schemeClr val="bg1"/>
        </a:solidFill>
        <a:ln>
          <a:solidFill>
            <a:srgbClr val="00B5EC"/>
          </a:solidFill>
        </a:ln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 b="1">
              <a:solidFill>
                <a:sysClr val="windowText" lastClr="000000"/>
              </a:solidFill>
            </a:rPr>
            <a:t>Step 4.1</a:t>
          </a:r>
          <a:endParaRPr lang="en-GB" sz="1100">
            <a:solidFill>
              <a:sysClr val="windowText" lastClr="000000"/>
            </a:solidFill>
          </a:endParaRPr>
        </a:p>
      </xdr:txBody>
    </xdr:sp>
    <xdr:clientData/>
  </xdr:twoCellAnchor>
  <xdr:twoCellAnchor editAs="oneCell">
    <xdr:from>
      <xdr:col>9</xdr:col>
      <xdr:colOff>266700</xdr:colOff>
      <xdr:row>7</xdr:row>
      <xdr:rowOff>50800</xdr:rowOff>
    </xdr:from>
    <xdr:to>
      <xdr:col>9</xdr:col>
      <xdr:colOff>1344612</xdr:colOff>
      <xdr:row>9</xdr:row>
      <xdr:rowOff>12700</xdr:rowOff>
    </xdr:to>
    <xdr:sp macro="" textlink="">
      <xdr:nvSpPr>
        <xdr:cNvPr id="8196" name="CommandButton1" hidden="1">
          <a:extLst>
            <a:ext uri="{63B3BB69-23CF-44E3-9099-C40C66FF867C}">
              <a14:compatExt xmlns:a14="http://schemas.microsoft.com/office/drawing/2010/main" spid="_x0000_s8196"/>
            </a:ext>
            <a:ext uri="{FF2B5EF4-FFF2-40B4-BE49-F238E27FC236}">
              <a16:creationId xmlns:a16="http://schemas.microsoft.com/office/drawing/2014/main" id="{00000000-0008-0000-0200-0000042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9</xdr:col>
      <xdr:colOff>279400</xdr:colOff>
      <xdr:row>2</xdr:row>
      <xdr:rowOff>50800</xdr:rowOff>
    </xdr:from>
    <xdr:to>
      <xdr:col>9</xdr:col>
      <xdr:colOff>1331912</xdr:colOff>
      <xdr:row>3</xdr:row>
      <xdr:rowOff>101600</xdr:rowOff>
    </xdr:to>
    <xdr:sp macro="" textlink="">
      <xdr:nvSpPr>
        <xdr:cNvPr id="8201" name="CommandButton6" hidden="1">
          <a:extLst>
            <a:ext uri="{63B3BB69-23CF-44E3-9099-C40C66FF867C}">
              <a14:compatExt xmlns:a14="http://schemas.microsoft.com/office/drawing/2010/main" spid="_x0000_s8201"/>
            </a:ext>
            <a:ext uri="{FF2B5EF4-FFF2-40B4-BE49-F238E27FC236}">
              <a16:creationId xmlns:a16="http://schemas.microsoft.com/office/drawing/2014/main" id="{00000000-0008-0000-0200-0000092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7</xdr:col>
      <xdr:colOff>25400</xdr:colOff>
      <xdr:row>1</xdr:row>
      <xdr:rowOff>177800</xdr:rowOff>
    </xdr:from>
    <xdr:to>
      <xdr:col>9</xdr:col>
      <xdr:colOff>88386</xdr:colOff>
      <xdr:row>3</xdr:row>
      <xdr:rowOff>63500</xdr:rowOff>
    </xdr:to>
    <xdr:sp macro="" textlink="">
      <xdr:nvSpPr>
        <xdr:cNvPr id="8203" name="CommandButton7" hidden="1">
          <a:extLst>
            <a:ext uri="{63B3BB69-23CF-44E3-9099-C40C66FF867C}">
              <a14:compatExt xmlns:a14="http://schemas.microsoft.com/office/drawing/2010/main" spid="_x0000_s8203"/>
            </a:ext>
            <a:ext uri="{FF2B5EF4-FFF2-40B4-BE49-F238E27FC236}">
              <a16:creationId xmlns:a16="http://schemas.microsoft.com/office/drawing/2014/main" id="{00000000-0008-0000-0200-00000B2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7</xdr:col>
      <xdr:colOff>12700</xdr:colOff>
      <xdr:row>11</xdr:row>
      <xdr:rowOff>0</xdr:rowOff>
    </xdr:from>
    <xdr:to>
      <xdr:col>9</xdr:col>
      <xdr:colOff>91561</xdr:colOff>
      <xdr:row>12</xdr:row>
      <xdr:rowOff>101600</xdr:rowOff>
    </xdr:to>
    <xdr:sp macro="" textlink="">
      <xdr:nvSpPr>
        <xdr:cNvPr id="8205" name="CommandButton8" hidden="1">
          <a:extLst>
            <a:ext uri="{63B3BB69-23CF-44E3-9099-C40C66FF867C}">
              <a14:compatExt xmlns:a14="http://schemas.microsoft.com/office/drawing/2010/main" spid="_x0000_s8205"/>
            </a:ext>
            <a:ext uri="{FF2B5EF4-FFF2-40B4-BE49-F238E27FC236}">
              <a16:creationId xmlns:a16="http://schemas.microsoft.com/office/drawing/2014/main" id="{00000000-0008-0000-0200-00000D2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7</xdr:col>
      <xdr:colOff>25400</xdr:colOff>
      <xdr:row>19</xdr:row>
      <xdr:rowOff>0</xdr:rowOff>
    </xdr:from>
    <xdr:to>
      <xdr:col>9</xdr:col>
      <xdr:colOff>85211</xdr:colOff>
      <xdr:row>20</xdr:row>
      <xdr:rowOff>101600</xdr:rowOff>
    </xdr:to>
    <xdr:sp macro="" textlink="">
      <xdr:nvSpPr>
        <xdr:cNvPr id="8206" name="CommandButton9" hidden="1">
          <a:extLst>
            <a:ext uri="{63B3BB69-23CF-44E3-9099-C40C66FF867C}">
              <a14:compatExt xmlns:a14="http://schemas.microsoft.com/office/drawing/2010/main" spid="_x0000_s8206"/>
            </a:ext>
            <a:ext uri="{FF2B5EF4-FFF2-40B4-BE49-F238E27FC236}">
              <a16:creationId xmlns:a16="http://schemas.microsoft.com/office/drawing/2014/main" id="{00000000-0008-0000-0200-00000E2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7</xdr:col>
      <xdr:colOff>25400</xdr:colOff>
      <xdr:row>26</xdr:row>
      <xdr:rowOff>215900</xdr:rowOff>
    </xdr:from>
    <xdr:to>
      <xdr:col>9</xdr:col>
      <xdr:colOff>88386</xdr:colOff>
      <xdr:row>28</xdr:row>
      <xdr:rowOff>114300</xdr:rowOff>
    </xdr:to>
    <xdr:sp macro="" textlink="">
      <xdr:nvSpPr>
        <xdr:cNvPr id="8207" name="CommandButton10" hidden="1">
          <a:extLst>
            <a:ext uri="{63B3BB69-23CF-44E3-9099-C40C66FF867C}">
              <a14:compatExt xmlns:a14="http://schemas.microsoft.com/office/drawing/2010/main" spid="_x0000_s8207"/>
            </a:ext>
            <a:ext uri="{FF2B5EF4-FFF2-40B4-BE49-F238E27FC236}">
              <a16:creationId xmlns:a16="http://schemas.microsoft.com/office/drawing/2014/main" id="{00000000-0008-0000-0200-00000F2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7</xdr:col>
      <xdr:colOff>25400</xdr:colOff>
      <xdr:row>34</xdr:row>
      <xdr:rowOff>203200</xdr:rowOff>
    </xdr:from>
    <xdr:to>
      <xdr:col>9</xdr:col>
      <xdr:colOff>83344</xdr:colOff>
      <xdr:row>36</xdr:row>
      <xdr:rowOff>114300</xdr:rowOff>
    </xdr:to>
    <xdr:sp macro="" textlink="">
      <xdr:nvSpPr>
        <xdr:cNvPr id="8208" name="CommandButton11" hidden="1">
          <a:extLst>
            <a:ext uri="{63B3BB69-23CF-44E3-9099-C40C66FF867C}">
              <a14:compatExt xmlns:a14="http://schemas.microsoft.com/office/drawing/2010/main" spid="_x0000_s8208"/>
            </a:ext>
            <a:ext uri="{FF2B5EF4-FFF2-40B4-BE49-F238E27FC236}">
              <a16:creationId xmlns:a16="http://schemas.microsoft.com/office/drawing/2014/main" id="{00000000-0008-0000-0200-0000102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56445</xdr:colOff>
      <xdr:row>11</xdr:row>
      <xdr:rowOff>7056</xdr:rowOff>
    </xdr:from>
    <xdr:to>
      <xdr:col>1</xdr:col>
      <xdr:colOff>678745</xdr:colOff>
      <xdr:row>14</xdr:row>
      <xdr:rowOff>102306</xdr:rowOff>
    </xdr:to>
    <xdr:sp macro="" textlink="">
      <xdr:nvSpPr>
        <xdr:cNvPr id="20" name="Rectangle: Diagonal Corners Snipped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SpPr/>
      </xdr:nvSpPr>
      <xdr:spPr>
        <a:xfrm>
          <a:off x="239889" y="1940278"/>
          <a:ext cx="622300" cy="560917"/>
        </a:xfrm>
        <a:prstGeom prst="snip2DiagRect">
          <a:avLst/>
        </a:prstGeom>
        <a:solidFill>
          <a:schemeClr val="bg1"/>
        </a:solidFill>
        <a:ln>
          <a:solidFill>
            <a:srgbClr val="00B5EC"/>
          </a:solidFill>
        </a:ln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GB" sz="11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Step 4.2</a:t>
          </a:r>
        </a:p>
      </xdr:txBody>
    </xdr:sp>
    <xdr:clientData/>
  </xdr:twoCellAnchor>
  <xdr:twoCellAnchor>
    <xdr:from>
      <xdr:col>1</xdr:col>
      <xdr:colOff>62795</xdr:colOff>
      <xdr:row>19</xdr:row>
      <xdr:rowOff>13406</xdr:rowOff>
    </xdr:from>
    <xdr:to>
      <xdr:col>1</xdr:col>
      <xdr:colOff>685095</xdr:colOff>
      <xdr:row>22</xdr:row>
      <xdr:rowOff>108656</xdr:rowOff>
    </xdr:to>
    <xdr:sp macro="" textlink="">
      <xdr:nvSpPr>
        <xdr:cNvPr id="21" name="Rectangle: Diagonal Corners Snipped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SpPr/>
      </xdr:nvSpPr>
      <xdr:spPr>
        <a:xfrm>
          <a:off x="246239" y="3251906"/>
          <a:ext cx="622300" cy="560917"/>
        </a:xfrm>
        <a:prstGeom prst="snip2DiagRect">
          <a:avLst/>
        </a:prstGeom>
        <a:solidFill>
          <a:schemeClr val="bg1"/>
        </a:solidFill>
        <a:ln>
          <a:solidFill>
            <a:srgbClr val="00B5EC"/>
          </a:solidFill>
        </a:ln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GB" sz="11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Step 4.3</a:t>
          </a:r>
        </a:p>
      </xdr:txBody>
    </xdr:sp>
    <xdr:clientData/>
  </xdr:twoCellAnchor>
  <xdr:twoCellAnchor>
    <xdr:from>
      <xdr:col>1</xdr:col>
      <xdr:colOff>69145</xdr:colOff>
      <xdr:row>27</xdr:row>
      <xdr:rowOff>13406</xdr:rowOff>
    </xdr:from>
    <xdr:to>
      <xdr:col>1</xdr:col>
      <xdr:colOff>691445</xdr:colOff>
      <xdr:row>30</xdr:row>
      <xdr:rowOff>108656</xdr:rowOff>
    </xdr:to>
    <xdr:sp macro="" textlink="">
      <xdr:nvSpPr>
        <xdr:cNvPr id="22" name="Rectangle: Diagonal Corners Snipped 21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SpPr/>
      </xdr:nvSpPr>
      <xdr:spPr>
        <a:xfrm>
          <a:off x="252589" y="4557184"/>
          <a:ext cx="622300" cy="560916"/>
        </a:xfrm>
        <a:prstGeom prst="snip2DiagRect">
          <a:avLst/>
        </a:prstGeom>
        <a:solidFill>
          <a:schemeClr val="bg1"/>
        </a:solidFill>
        <a:ln>
          <a:solidFill>
            <a:srgbClr val="00B5EC"/>
          </a:solidFill>
        </a:ln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GB" sz="11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Step 4.4</a:t>
          </a:r>
        </a:p>
      </xdr:txBody>
    </xdr:sp>
    <xdr:clientData/>
  </xdr:twoCellAnchor>
  <xdr:twoCellAnchor>
    <xdr:from>
      <xdr:col>1</xdr:col>
      <xdr:colOff>75495</xdr:colOff>
      <xdr:row>35</xdr:row>
      <xdr:rowOff>19756</xdr:rowOff>
    </xdr:from>
    <xdr:to>
      <xdr:col>1</xdr:col>
      <xdr:colOff>697795</xdr:colOff>
      <xdr:row>38</xdr:row>
      <xdr:rowOff>115006</xdr:rowOff>
    </xdr:to>
    <xdr:sp macro="" textlink="">
      <xdr:nvSpPr>
        <xdr:cNvPr id="23" name="Rectangle: Diagonal Corners Snipped 22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SpPr/>
      </xdr:nvSpPr>
      <xdr:spPr>
        <a:xfrm>
          <a:off x="258939" y="5868812"/>
          <a:ext cx="622300" cy="560916"/>
        </a:xfrm>
        <a:prstGeom prst="snip2DiagRect">
          <a:avLst/>
        </a:prstGeom>
        <a:solidFill>
          <a:schemeClr val="bg1"/>
        </a:solidFill>
        <a:ln>
          <a:solidFill>
            <a:srgbClr val="00B5EC"/>
          </a:solidFill>
        </a:ln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GB" sz="11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Step 4.5</a:t>
          </a:r>
        </a:p>
      </xdr:txBody>
    </xdr:sp>
    <xdr:clientData/>
  </xdr:twoCellAnchor>
  <xdr:twoCellAnchor>
    <xdr:from>
      <xdr:col>2</xdr:col>
      <xdr:colOff>20462</xdr:colOff>
      <xdr:row>2</xdr:row>
      <xdr:rowOff>197553</xdr:rowOff>
    </xdr:from>
    <xdr:to>
      <xdr:col>2</xdr:col>
      <xdr:colOff>2087740</xdr:colOff>
      <xdr:row>5</xdr:row>
      <xdr:rowOff>150985</xdr:rowOff>
    </xdr:to>
    <xdr:sp macro="" textlink="">
      <xdr:nvSpPr>
        <xdr:cNvPr id="25" name="Arrow: Pentagon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SpPr/>
      </xdr:nvSpPr>
      <xdr:spPr>
        <a:xfrm>
          <a:off x="944740" y="853720"/>
          <a:ext cx="2067278" cy="482598"/>
        </a:xfrm>
        <a:prstGeom prst="homePlate">
          <a:avLst/>
        </a:prstGeom>
        <a:noFill/>
        <a:ln>
          <a:solidFill>
            <a:schemeClr val="bg1">
              <a:lumMod val="85000"/>
            </a:schemeClr>
          </a:solidFill>
        </a:ln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GB" sz="1100">
              <a:solidFill>
                <a:schemeClr val="bg1"/>
              </a:solidFill>
              <a:latin typeface="+mj-lt"/>
            </a:rPr>
            <a:t>Select</a:t>
          </a:r>
          <a:r>
            <a:rPr lang="en-GB" sz="1100" baseline="0">
              <a:solidFill>
                <a:schemeClr val="bg1"/>
              </a:solidFill>
              <a:latin typeface="+mj-lt"/>
            </a:rPr>
            <a:t> variables for std conduit in cells "F4 to F10"</a:t>
          </a:r>
          <a:endParaRPr lang="en-GB" sz="1100">
            <a:solidFill>
              <a:schemeClr val="bg1"/>
            </a:solidFill>
            <a:latin typeface="+mj-lt"/>
          </a:endParaRPr>
        </a:p>
      </xdr:txBody>
    </xdr:sp>
    <xdr:clientData/>
  </xdr:twoCellAnchor>
  <xdr:twoCellAnchor>
    <xdr:from>
      <xdr:col>2</xdr:col>
      <xdr:colOff>17639</xdr:colOff>
      <xdr:row>5</xdr:row>
      <xdr:rowOff>145338</xdr:rowOff>
    </xdr:from>
    <xdr:to>
      <xdr:col>2</xdr:col>
      <xdr:colOff>2084917</xdr:colOff>
      <xdr:row>9</xdr:row>
      <xdr:rowOff>7047</xdr:rowOff>
    </xdr:to>
    <xdr:sp macro="" textlink="">
      <xdr:nvSpPr>
        <xdr:cNvPr id="26" name="Arrow: Pentagon 25">
          <a:extLst>
            <a:ext uri="{FF2B5EF4-FFF2-40B4-BE49-F238E27FC236}">
              <a16:creationId xmlns:a16="http://schemas.microsoft.com/office/drawing/2014/main" id="{00000000-0008-0000-0200-00001A000000}"/>
            </a:ext>
          </a:extLst>
        </xdr:cNvPr>
        <xdr:cNvSpPr/>
      </xdr:nvSpPr>
      <xdr:spPr>
        <a:xfrm>
          <a:off x="941917" y="1083727"/>
          <a:ext cx="2067278" cy="482598"/>
        </a:xfrm>
        <a:prstGeom prst="homePlate">
          <a:avLst/>
        </a:prstGeom>
        <a:noFill/>
        <a:ln>
          <a:solidFill>
            <a:schemeClr val="bg1">
              <a:lumMod val="85000"/>
            </a:schemeClr>
          </a:solidFill>
        </a:ln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GB" sz="1100">
              <a:solidFill>
                <a:schemeClr val="bg1"/>
              </a:solidFill>
              <a:latin typeface="+mj-lt"/>
            </a:rPr>
            <a:t>Select</a:t>
          </a:r>
          <a:r>
            <a:rPr lang="en-GB" sz="1100" baseline="0">
              <a:solidFill>
                <a:schemeClr val="bg1"/>
              </a:solidFill>
              <a:latin typeface="+mj-lt"/>
            </a:rPr>
            <a:t> variables for FuturePath in cells "G4 to G10"</a:t>
          </a:r>
          <a:endParaRPr lang="en-GB" sz="1100">
            <a:solidFill>
              <a:schemeClr val="bg1"/>
            </a:solidFill>
            <a:latin typeface="+mj-lt"/>
          </a:endParaRPr>
        </a:p>
      </xdr:txBody>
    </xdr:sp>
    <xdr:clientData/>
  </xdr:twoCellAnchor>
  <xdr:twoCellAnchor>
    <xdr:from>
      <xdr:col>2</xdr:col>
      <xdr:colOff>21873</xdr:colOff>
      <xdr:row>9</xdr:row>
      <xdr:rowOff>8459</xdr:rowOff>
    </xdr:from>
    <xdr:to>
      <xdr:col>2</xdr:col>
      <xdr:colOff>1947333</xdr:colOff>
      <xdr:row>10</xdr:row>
      <xdr:rowOff>70556</xdr:rowOff>
    </xdr:to>
    <xdr:sp macro="" textlink="">
      <xdr:nvSpPr>
        <xdr:cNvPr id="27" name="Arrow: Pentagon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SpPr/>
      </xdr:nvSpPr>
      <xdr:spPr>
        <a:xfrm>
          <a:off x="946151" y="1814681"/>
          <a:ext cx="1925460" cy="217319"/>
        </a:xfrm>
        <a:prstGeom prst="homePlate">
          <a:avLst/>
        </a:prstGeom>
        <a:noFill/>
        <a:ln>
          <a:solidFill>
            <a:schemeClr val="bg1">
              <a:lumMod val="85000"/>
            </a:schemeClr>
          </a:solidFill>
        </a:ln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GB" sz="1100">
              <a:solidFill>
                <a:schemeClr val="bg1"/>
              </a:solidFill>
              <a:latin typeface="+mj-lt"/>
            </a:rPr>
            <a:t>Then back to step 5</a:t>
          </a:r>
        </a:p>
      </xdr:txBody>
    </xdr:sp>
    <xdr:clientData/>
  </xdr:twoCellAnchor>
  <xdr:twoCellAnchor>
    <xdr:from>
      <xdr:col>1</xdr:col>
      <xdr:colOff>128663</xdr:colOff>
      <xdr:row>1</xdr:row>
      <xdr:rowOff>26982</xdr:rowOff>
    </xdr:from>
    <xdr:to>
      <xdr:col>2</xdr:col>
      <xdr:colOff>2075996</xdr:colOff>
      <xdr:row>2</xdr:row>
      <xdr:rowOff>48149</xdr:rowOff>
    </xdr:to>
    <xdr:sp macro="" textlink="">
      <xdr:nvSpPr>
        <xdr:cNvPr id="28" name="Rectangle: Diagonal Corners Snipped 27"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SpPr/>
      </xdr:nvSpPr>
      <xdr:spPr>
        <a:xfrm>
          <a:off x="307957" y="497629"/>
          <a:ext cx="2664510" cy="211667"/>
        </a:xfrm>
        <a:prstGeom prst="snip2DiagRect">
          <a:avLst/>
        </a:prstGeom>
        <a:solidFill>
          <a:schemeClr val="accent2"/>
        </a:solidFill>
        <a:ln>
          <a:solidFill>
            <a:schemeClr val="accent2"/>
          </a:solidFill>
        </a:ln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400" b="1">
              <a:latin typeface="+mn-lt"/>
            </a:rPr>
            <a:t>INSTRUCTION PANAL</a:t>
          </a:r>
        </a:p>
      </xdr:txBody>
    </xdr:sp>
    <xdr:clientData/>
  </xdr:twoCellAnchor>
  <xdr:twoCellAnchor>
    <xdr:from>
      <xdr:col>4</xdr:col>
      <xdr:colOff>149048</xdr:colOff>
      <xdr:row>0</xdr:row>
      <xdr:rowOff>11906</xdr:rowOff>
    </xdr:from>
    <xdr:to>
      <xdr:col>6</xdr:col>
      <xdr:colOff>857250</xdr:colOff>
      <xdr:row>0</xdr:row>
      <xdr:rowOff>428184</xdr:rowOff>
    </xdr:to>
    <xdr:sp macro="" textlink="">
      <xdr:nvSpPr>
        <xdr:cNvPr id="29" name="Rectangle: Diagonal Corners Snipped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SpPr/>
      </xdr:nvSpPr>
      <xdr:spPr>
        <a:xfrm>
          <a:off x="3423267" y="11906"/>
          <a:ext cx="3470452" cy="416278"/>
        </a:xfrm>
        <a:prstGeom prst="snip2DiagRect">
          <a:avLst/>
        </a:prstGeom>
        <a:solidFill>
          <a:schemeClr val="tx1">
            <a:lumMod val="85000"/>
            <a:lumOff val="15000"/>
          </a:schemeClr>
        </a:solidFill>
        <a:ln>
          <a:solidFill>
            <a:schemeClr val="tx1">
              <a:lumMod val="85000"/>
              <a:lumOff val="15000"/>
            </a:schemeClr>
          </a:solidFill>
        </a:ln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400" b="1">
              <a:latin typeface="+mn-lt"/>
            </a:rPr>
            <a:t>Upgrade</a:t>
          </a:r>
          <a:r>
            <a:rPr lang="en-GB" sz="2400" b="1" baseline="0">
              <a:latin typeface="+mn-lt"/>
            </a:rPr>
            <a:t> </a:t>
          </a:r>
          <a:r>
            <a:rPr lang="en-GB" sz="2400" b="1">
              <a:latin typeface="+mn-lt"/>
            </a:rPr>
            <a:t>Data Selection</a:t>
          </a:r>
        </a:p>
      </xdr:txBody>
    </xdr:sp>
    <xdr:clientData/>
  </xdr:twoCellAnchor>
  <xdr:twoCellAnchor>
    <xdr:from>
      <xdr:col>2</xdr:col>
      <xdr:colOff>19049</xdr:colOff>
      <xdr:row>11</xdr:row>
      <xdr:rowOff>12698</xdr:rowOff>
    </xdr:from>
    <xdr:to>
      <xdr:col>2</xdr:col>
      <xdr:colOff>1944509</xdr:colOff>
      <xdr:row>12</xdr:row>
      <xdr:rowOff>74795</xdr:rowOff>
    </xdr:to>
    <xdr:sp macro="" textlink="">
      <xdr:nvSpPr>
        <xdr:cNvPr id="30" name="Arrow: Pentagon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SpPr/>
      </xdr:nvSpPr>
      <xdr:spPr>
        <a:xfrm>
          <a:off x="943327" y="2192865"/>
          <a:ext cx="1925460" cy="217319"/>
        </a:xfrm>
        <a:prstGeom prst="homePlate">
          <a:avLst/>
        </a:prstGeom>
        <a:noFill/>
        <a:ln>
          <a:solidFill>
            <a:schemeClr val="bg1">
              <a:lumMod val="85000"/>
            </a:schemeClr>
          </a:solidFill>
        </a:ln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GB" sz="1100">
              <a:solidFill>
                <a:schemeClr val="bg1"/>
              </a:solidFill>
              <a:latin typeface="+mj-lt"/>
            </a:rPr>
            <a:t>Follow same steps as step</a:t>
          </a:r>
          <a:r>
            <a:rPr lang="en-GB" sz="1100" baseline="0">
              <a:solidFill>
                <a:schemeClr val="bg1"/>
              </a:solidFill>
              <a:latin typeface="+mj-lt"/>
            </a:rPr>
            <a:t> 4.1</a:t>
          </a:r>
          <a:endParaRPr lang="en-GB" sz="1100">
            <a:solidFill>
              <a:schemeClr val="bg1"/>
            </a:solidFill>
            <a:latin typeface="+mj-lt"/>
          </a:endParaRPr>
        </a:p>
      </xdr:txBody>
    </xdr:sp>
    <xdr:clientData/>
  </xdr:twoCellAnchor>
  <xdr:twoCellAnchor>
    <xdr:from>
      <xdr:col>2</xdr:col>
      <xdr:colOff>30338</xdr:colOff>
      <xdr:row>19</xdr:row>
      <xdr:rowOff>73377</xdr:rowOff>
    </xdr:from>
    <xdr:to>
      <xdr:col>2</xdr:col>
      <xdr:colOff>1955798</xdr:colOff>
      <xdr:row>20</xdr:row>
      <xdr:rowOff>135473</xdr:rowOff>
    </xdr:to>
    <xdr:sp macro="" textlink="">
      <xdr:nvSpPr>
        <xdr:cNvPr id="31" name="Arrow: Pentagon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SpPr/>
      </xdr:nvSpPr>
      <xdr:spPr>
        <a:xfrm>
          <a:off x="954616" y="3558821"/>
          <a:ext cx="1925460" cy="217319"/>
        </a:xfrm>
        <a:prstGeom prst="homePlate">
          <a:avLst/>
        </a:prstGeom>
        <a:noFill/>
        <a:ln>
          <a:solidFill>
            <a:schemeClr val="bg1">
              <a:lumMod val="85000"/>
            </a:schemeClr>
          </a:solidFill>
        </a:ln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GB" sz="1100">
              <a:solidFill>
                <a:schemeClr val="bg1"/>
              </a:solidFill>
              <a:latin typeface="+mj-lt"/>
            </a:rPr>
            <a:t>Follow same steps as step</a:t>
          </a:r>
          <a:r>
            <a:rPr lang="en-GB" sz="1100" baseline="0">
              <a:solidFill>
                <a:schemeClr val="bg1"/>
              </a:solidFill>
              <a:latin typeface="+mj-lt"/>
            </a:rPr>
            <a:t> 4.1</a:t>
          </a:r>
          <a:endParaRPr lang="en-GB" sz="1100">
            <a:solidFill>
              <a:schemeClr val="bg1"/>
            </a:solidFill>
            <a:latin typeface="+mj-lt"/>
          </a:endParaRPr>
        </a:p>
      </xdr:txBody>
    </xdr:sp>
    <xdr:clientData/>
  </xdr:twoCellAnchor>
  <xdr:twoCellAnchor>
    <xdr:from>
      <xdr:col>2</xdr:col>
      <xdr:colOff>42334</xdr:colOff>
      <xdr:row>27</xdr:row>
      <xdr:rowOff>42333</xdr:rowOff>
    </xdr:from>
    <xdr:to>
      <xdr:col>2</xdr:col>
      <xdr:colOff>1967794</xdr:colOff>
      <xdr:row>28</xdr:row>
      <xdr:rowOff>104430</xdr:rowOff>
    </xdr:to>
    <xdr:sp macro="" textlink="">
      <xdr:nvSpPr>
        <xdr:cNvPr id="32" name="Arrow: Pentagon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SpPr/>
      </xdr:nvSpPr>
      <xdr:spPr>
        <a:xfrm>
          <a:off x="966612" y="4833055"/>
          <a:ext cx="1925460" cy="217319"/>
        </a:xfrm>
        <a:prstGeom prst="homePlate">
          <a:avLst/>
        </a:prstGeom>
        <a:noFill/>
        <a:ln>
          <a:solidFill>
            <a:schemeClr val="bg1">
              <a:lumMod val="85000"/>
            </a:schemeClr>
          </a:solidFill>
        </a:ln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GB" sz="1100">
              <a:solidFill>
                <a:schemeClr val="bg1"/>
              </a:solidFill>
              <a:latin typeface="+mj-lt"/>
            </a:rPr>
            <a:t>Follow same steps as step</a:t>
          </a:r>
          <a:r>
            <a:rPr lang="en-GB" sz="1100" baseline="0">
              <a:solidFill>
                <a:schemeClr val="bg1"/>
              </a:solidFill>
              <a:latin typeface="+mj-lt"/>
            </a:rPr>
            <a:t> 4.1</a:t>
          </a:r>
          <a:endParaRPr lang="en-GB" sz="1100">
            <a:solidFill>
              <a:schemeClr val="bg1"/>
            </a:solidFill>
            <a:latin typeface="+mj-lt"/>
          </a:endParaRPr>
        </a:p>
      </xdr:txBody>
    </xdr:sp>
    <xdr:clientData/>
  </xdr:twoCellAnchor>
  <xdr:twoCellAnchor>
    <xdr:from>
      <xdr:col>2</xdr:col>
      <xdr:colOff>49389</xdr:colOff>
      <xdr:row>35</xdr:row>
      <xdr:rowOff>49389</xdr:rowOff>
    </xdr:from>
    <xdr:to>
      <xdr:col>2</xdr:col>
      <xdr:colOff>1974849</xdr:colOff>
      <xdr:row>36</xdr:row>
      <xdr:rowOff>111486</xdr:rowOff>
    </xdr:to>
    <xdr:sp macro="" textlink="">
      <xdr:nvSpPr>
        <xdr:cNvPr id="33" name="Arrow: Pentagon 32"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SpPr/>
      </xdr:nvSpPr>
      <xdr:spPr>
        <a:xfrm>
          <a:off x="973667" y="6145389"/>
          <a:ext cx="1925460" cy="217319"/>
        </a:xfrm>
        <a:prstGeom prst="homePlate">
          <a:avLst/>
        </a:prstGeom>
        <a:noFill/>
        <a:ln>
          <a:solidFill>
            <a:schemeClr val="bg1">
              <a:lumMod val="85000"/>
            </a:schemeClr>
          </a:solidFill>
        </a:ln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GB" sz="1100">
              <a:solidFill>
                <a:schemeClr val="bg1"/>
              </a:solidFill>
              <a:latin typeface="+mj-lt"/>
            </a:rPr>
            <a:t>Follow same steps as step</a:t>
          </a:r>
          <a:r>
            <a:rPr lang="en-GB" sz="1100" baseline="0">
              <a:solidFill>
                <a:schemeClr val="bg1"/>
              </a:solidFill>
              <a:latin typeface="+mj-lt"/>
            </a:rPr>
            <a:t> 4.1</a:t>
          </a:r>
          <a:endParaRPr lang="en-GB" sz="1100">
            <a:solidFill>
              <a:schemeClr val="bg1"/>
            </a:solidFill>
            <a:latin typeface="+mj-lt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409575</xdr:colOff>
          <xdr:row>3</xdr:row>
          <xdr:rowOff>104775</xdr:rowOff>
        </xdr:from>
        <xdr:to>
          <xdr:col>9</xdr:col>
          <xdr:colOff>1952625</xdr:colOff>
          <xdr:row>6</xdr:row>
          <xdr:rowOff>104775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Completed Step 4?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Step 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409575</xdr:colOff>
          <xdr:row>13</xdr:row>
          <xdr:rowOff>0</xdr:rowOff>
        </xdr:from>
        <xdr:to>
          <xdr:col>9</xdr:col>
          <xdr:colOff>1971675</xdr:colOff>
          <xdr:row>16</xdr:row>
          <xdr:rowOff>104775</xdr:rowOff>
        </xdr:to>
        <xdr:sp macro="" textlink="">
          <xdr:nvSpPr>
            <xdr:cNvPr id="2" name="Button 13" hidden="1">
              <a:extLst>
                <a:ext uri="{63B3BB69-23CF-44E3-9099-C40C66FF867C}">
                  <a14:compatExt spid="_x0000_s8205"/>
                </a:ex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66CC"/>
                  </a:solidFill>
                  <a:latin typeface="Calibri"/>
                  <a:cs typeface="Calibri"/>
                </a:rPr>
                <a:t>Cost Elements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409575</xdr:colOff>
          <xdr:row>17</xdr:row>
          <xdr:rowOff>152400</xdr:rowOff>
        </xdr:from>
        <xdr:to>
          <xdr:col>9</xdr:col>
          <xdr:colOff>1971675</xdr:colOff>
          <xdr:row>21</xdr:row>
          <xdr:rowOff>0</xdr:rowOff>
        </xdr:to>
        <xdr:sp macro="" textlink="">
          <xdr:nvSpPr>
            <xdr:cNvPr id="4" name="Button 15" hidden="1">
              <a:extLst>
                <a:ext uri="{63B3BB69-23CF-44E3-9099-C40C66FF867C}">
                  <a14:compatExt spid="_x0000_s8207"/>
                </a:ext>
                <a:ext uri="{FF2B5EF4-FFF2-40B4-BE49-F238E27FC236}">
                  <a16:creationId xmlns:a16="http://schemas.microsoft.com/office/drawing/2014/main" id="{00000000-0008-0000-0200-000004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66CC"/>
                  </a:solidFill>
                  <a:latin typeface="Calibri"/>
                  <a:cs typeface="Calibri"/>
                </a:rPr>
                <a:t>Calculations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409575</xdr:colOff>
          <xdr:row>8</xdr:row>
          <xdr:rowOff>47625</xdr:rowOff>
        </xdr:from>
        <xdr:to>
          <xdr:col>9</xdr:col>
          <xdr:colOff>1971675</xdr:colOff>
          <xdr:row>11</xdr:row>
          <xdr:rowOff>85725</xdr:rowOff>
        </xdr:to>
        <xdr:sp macro="" textlink="">
          <xdr:nvSpPr>
            <xdr:cNvPr id="5" name="Button 16" hidden="1">
              <a:extLst>
                <a:ext uri="{63B3BB69-23CF-44E3-9099-C40C66FF867C}">
                  <a14:compatExt spid="_x0000_s8208"/>
                </a:ext>
                <a:ext uri="{FF2B5EF4-FFF2-40B4-BE49-F238E27FC236}">
                  <a16:creationId xmlns:a16="http://schemas.microsoft.com/office/drawing/2014/main" id="{00000000-0008-0000-02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66CC"/>
                  </a:solidFill>
                  <a:latin typeface="Calibri"/>
                  <a:cs typeface="Calibri"/>
                </a:rPr>
                <a:t>Dashboard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51128</xdr:colOff>
      <xdr:row>1</xdr:row>
      <xdr:rowOff>33615</xdr:rowOff>
    </xdr:from>
    <xdr:to>
      <xdr:col>9</xdr:col>
      <xdr:colOff>2297907</xdr:colOff>
      <xdr:row>2</xdr:row>
      <xdr:rowOff>22409</xdr:rowOff>
    </xdr:to>
    <xdr:sp macro="" textlink="">
      <xdr:nvSpPr>
        <xdr:cNvPr id="34" name="Rectangle: Diagonal Corners Snipped 33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SpPr/>
      </xdr:nvSpPr>
      <xdr:spPr>
        <a:xfrm>
          <a:off x="8492659" y="497959"/>
          <a:ext cx="2246779" cy="179294"/>
        </a:xfrm>
        <a:prstGeom prst="snip2DiagRect">
          <a:avLst/>
        </a:prstGeom>
        <a:solidFill>
          <a:schemeClr val="accent2"/>
        </a:solidFill>
        <a:ln>
          <a:solidFill>
            <a:schemeClr val="accent2"/>
          </a:solidFill>
        </a:ln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400" b="1">
              <a:latin typeface="+mn-lt"/>
            </a:rPr>
            <a:t>NAVIGATION PANAL</a:t>
          </a:r>
        </a:p>
      </xdr:txBody>
    </xdr:sp>
    <xdr:clientData/>
  </xdr:twoCellAnchor>
  <xdr:twoCellAnchor editAs="oneCell">
    <xdr:from>
      <xdr:col>9</xdr:col>
      <xdr:colOff>154782</xdr:colOff>
      <xdr:row>0</xdr:row>
      <xdr:rowOff>35718</xdr:rowOff>
    </xdr:from>
    <xdr:to>
      <xdr:col>9</xdr:col>
      <xdr:colOff>2327338</xdr:colOff>
      <xdr:row>0</xdr:row>
      <xdr:rowOff>415160</xdr:rowOff>
    </xdr:to>
    <xdr:pic>
      <xdr:nvPicPr>
        <xdr:cNvPr id="35" name="Picture 34">
          <a:extLst>
            <a:ext uri="{FF2B5EF4-FFF2-40B4-BE49-F238E27FC236}">
              <a16:creationId xmlns:a16="http://schemas.microsoft.com/office/drawing/2014/main" id="{00000000-0008-0000-02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96313" y="35718"/>
          <a:ext cx="2172556" cy="379442"/>
        </a:xfrm>
        <a:prstGeom prst="rect">
          <a:avLst/>
        </a:prstGeom>
        <a:noFill/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69673</xdr:colOff>
      <xdr:row>8</xdr:row>
      <xdr:rowOff>35719</xdr:rowOff>
    </xdr:from>
    <xdr:to>
      <xdr:col>15</xdr:col>
      <xdr:colOff>360</xdr:colOff>
      <xdr:row>20</xdr:row>
      <xdr:rowOff>12816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47624</xdr:colOff>
      <xdr:row>4</xdr:row>
      <xdr:rowOff>29103</xdr:rowOff>
    </xdr:from>
    <xdr:to>
      <xdr:col>23</xdr:col>
      <xdr:colOff>372362</xdr:colOff>
      <xdr:row>20</xdr:row>
      <xdr:rowOff>5665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18</xdr:col>
      <xdr:colOff>1</xdr:colOff>
      <xdr:row>1</xdr:row>
      <xdr:rowOff>27844</xdr:rowOff>
    </xdr:from>
    <xdr:to>
      <xdr:col>23</xdr:col>
      <xdr:colOff>230187</xdr:colOff>
      <xdr:row>1</xdr:row>
      <xdr:rowOff>444499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715626" y="107219"/>
          <a:ext cx="2333624" cy="416655"/>
        </a:xfrm>
        <a:prstGeom prst="rect">
          <a:avLst/>
        </a:prstGeom>
        <a:solidFill>
          <a:schemeClr val="tx1">
            <a:lumMod val="85000"/>
            <a:lumOff val="15000"/>
          </a:schemeClr>
        </a:solidFill>
      </xdr:spPr>
    </xdr:pic>
    <xdr:clientData/>
  </xdr:twoCellAnchor>
  <xdr:twoCellAnchor>
    <xdr:from>
      <xdr:col>1</xdr:col>
      <xdr:colOff>10204</xdr:colOff>
      <xdr:row>8</xdr:row>
      <xdr:rowOff>35719</xdr:rowOff>
    </xdr:from>
    <xdr:to>
      <xdr:col>11</xdr:col>
      <xdr:colOff>46489</xdr:colOff>
      <xdr:row>20</xdr:row>
      <xdr:rowOff>13183</xdr:rowOff>
    </xdr:to>
    <xdr:graphicFrame macro="">
      <xdr:nvGraphicFramePr>
        <xdr:cNvPr id="24" name="Chart 23">
          <a:extLst>
            <a:ext uri="{FF2B5EF4-FFF2-40B4-BE49-F238E27FC236}">
              <a16:creationId xmlns:a16="http://schemas.microsoft.com/office/drawing/2014/main" id="{00000000-0008-0000-03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24</xdr:col>
      <xdr:colOff>203200</xdr:colOff>
      <xdr:row>5</xdr:row>
      <xdr:rowOff>38100</xdr:rowOff>
    </xdr:from>
    <xdr:to>
      <xdr:col>25</xdr:col>
      <xdr:colOff>838200</xdr:colOff>
      <xdr:row>7</xdr:row>
      <xdr:rowOff>50800</xdr:rowOff>
    </xdr:to>
    <xdr:sp macro="" textlink="">
      <xdr:nvSpPr>
        <xdr:cNvPr id="9217" name="CommandButton1" hidden="1">
          <a:extLst>
            <a:ext uri="{63B3BB69-23CF-44E3-9099-C40C66FF867C}">
              <a14:compatExt xmlns:a14="http://schemas.microsoft.com/office/drawing/2010/main" spid="_x0000_s9217"/>
            </a:ext>
            <a:ext uri="{FF2B5EF4-FFF2-40B4-BE49-F238E27FC236}">
              <a16:creationId xmlns:a16="http://schemas.microsoft.com/office/drawing/2014/main" id="{00000000-0008-0000-0300-0000012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24</xdr:col>
      <xdr:colOff>203200</xdr:colOff>
      <xdr:row>8</xdr:row>
      <xdr:rowOff>0</xdr:rowOff>
    </xdr:from>
    <xdr:to>
      <xdr:col>25</xdr:col>
      <xdr:colOff>825500</xdr:colOff>
      <xdr:row>10</xdr:row>
      <xdr:rowOff>38100</xdr:rowOff>
    </xdr:to>
    <xdr:sp macro="" textlink="">
      <xdr:nvSpPr>
        <xdr:cNvPr id="9218" name="CommandButton2" hidden="1">
          <a:extLst>
            <a:ext uri="{63B3BB69-23CF-44E3-9099-C40C66FF867C}">
              <a14:compatExt xmlns:a14="http://schemas.microsoft.com/office/drawing/2010/main" spid="_x0000_s9218"/>
            </a:ext>
            <a:ext uri="{FF2B5EF4-FFF2-40B4-BE49-F238E27FC236}">
              <a16:creationId xmlns:a16="http://schemas.microsoft.com/office/drawing/2014/main" id="{00000000-0008-0000-0300-0000022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24</xdr:col>
      <xdr:colOff>215900</xdr:colOff>
      <xdr:row>10</xdr:row>
      <xdr:rowOff>177800</xdr:rowOff>
    </xdr:from>
    <xdr:to>
      <xdr:col>25</xdr:col>
      <xdr:colOff>825500</xdr:colOff>
      <xdr:row>13</xdr:row>
      <xdr:rowOff>25400</xdr:rowOff>
    </xdr:to>
    <xdr:sp macro="" textlink="">
      <xdr:nvSpPr>
        <xdr:cNvPr id="9219" name="CommandButton3" hidden="1">
          <a:extLst>
            <a:ext uri="{63B3BB69-23CF-44E3-9099-C40C66FF867C}">
              <a14:compatExt xmlns:a14="http://schemas.microsoft.com/office/drawing/2010/main" spid="_x0000_s9219"/>
            </a:ext>
            <a:ext uri="{FF2B5EF4-FFF2-40B4-BE49-F238E27FC236}">
              <a16:creationId xmlns:a16="http://schemas.microsoft.com/office/drawing/2014/main" id="{00000000-0008-0000-0300-0000032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24</xdr:col>
      <xdr:colOff>203200</xdr:colOff>
      <xdr:row>14</xdr:row>
      <xdr:rowOff>76200</xdr:rowOff>
    </xdr:from>
    <xdr:to>
      <xdr:col>25</xdr:col>
      <xdr:colOff>825500</xdr:colOff>
      <xdr:row>16</xdr:row>
      <xdr:rowOff>88900</xdr:rowOff>
    </xdr:to>
    <xdr:sp macro="" textlink="">
      <xdr:nvSpPr>
        <xdr:cNvPr id="9220" name="CommandButton4" hidden="1">
          <a:extLst>
            <a:ext uri="{63B3BB69-23CF-44E3-9099-C40C66FF867C}">
              <a14:compatExt xmlns:a14="http://schemas.microsoft.com/office/drawing/2010/main" spid="_x0000_s9220"/>
            </a:ext>
            <a:ext uri="{FF2B5EF4-FFF2-40B4-BE49-F238E27FC236}">
              <a16:creationId xmlns:a16="http://schemas.microsoft.com/office/drawing/2014/main" id="{00000000-0008-0000-0300-0000042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277812</xdr:colOff>
      <xdr:row>1</xdr:row>
      <xdr:rowOff>47624</xdr:rowOff>
    </xdr:from>
    <xdr:to>
      <xdr:col>16</xdr:col>
      <xdr:colOff>158750</xdr:colOff>
      <xdr:row>1</xdr:row>
      <xdr:rowOff>420687</xdr:rowOff>
    </xdr:to>
    <xdr:sp macro="" textlink="">
      <xdr:nvSpPr>
        <xdr:cNvPr id="19" name="Rectangle: Diagonal Corners Snipped 18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SpPr/>
      </xdr:nvSpPr>
      <xdr:spPr>
        <a:xfrm>
          <a:off x="2206625" y="119062"/>
          <a:ext cx="7381875" cy="373063"/>
        </a:xfrm>
        <a:prstGeom prst="snip2DiagRect">
          <a:avLst/>
        </a:prstGeom>
        <a:solidFill>
          <a:schemeClr val="tx1">
            <a:lumMod val="85000"/>
            <a:lumOff val="15000"/>
          </a:schemeClr>
        </a:solidFill>
        <a:ln>
          <a:solidFill>
            <a:schemeClr val="tx1">
              <a:lumMod val="85000"/>
              <a:lumOff val="15000"/>
            </a:schemeClr>
          </a:solidFill>
        </a:ln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400" b="1">
              <a:latin typeface="+mn-lt"/>
            </a:rPr>
            <a:t>Financial Model (Standard</a:t>
          </a:r>
          <a:r>
            <a:rPr lang="en-GB" sz="2400" b="1" baseline="0">
              <a:latin typeface="+mn-lt"/>
            </a:rPr>
            <a:t> Conduit vs FuturePath)</a:t>
          </a:r>
          <a:endParaRPr lang="en-GB" sz="2400" b="1">
            <a:latin typeface="+mn-lt"/>
          </a:endParaRPr>
        </a:p>
      </xdr:txBody>
    </xdr:sp>
    <xdr:clientData/>
  </xdr:twoCellAnchor>
  <xdr:twoCellAnchor>
    <xdr:from>
      <xdr:col>24</xdr:col>
      <xdr:colOff>119065</xdr:colOff>
      <xdr:row>1</xdr:row>
      <xdr:rowOff>31752</xdr:rowOff>
    </xdr:from>
    <xdr:to>
      <xdr:col>25</xdr:col>
      <xdr:colOff>722314</xdr:colOff>
      <xdr:row>3</xdr:row>
      <xdr:rowOff>246065</xdr:rowOff>
    </xdr:to>
    <xdr:sp macro="" textlink="">
      <xdr:nvSpPr>
        <xdr:cNvPr id="2" name="Callout: Down Arrow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2787315" y="103190"/>
          <a:ext cx="1186655" cy="904875"/>
        </a:xfrm>
        <a:prstGeom prst="downArrowCallout">
          <a:avLst/>
        </a:prstGeom>
        <a:solidFill>
          <a:schemeClr val="bg1">
            <a:lumMod val="95000"/>
          </a:schemeClr>
        </a:solidFill>
        <a:ln>
          <a:solidFill>
            <a:schemeClr val="bg1">
              <a:lumMod val="50000"/>
            </a:schemeClr>
          </a:solidFill>
        </a:ln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>
              <a:solidFill>
                <a:sysClr val="windowText" lastClr="000000"/>
              </a:solidFill>
            </a:rPr>
            <a:t>Navigation Tabs</a:t>
          </a:r>
        </a:p>
      </xdr:txBody>
    </xdr:sp>
    <xdr:clientData/>
  </xdr:twoCellAnchor>
  <xdr:twoCellAnchor>
    <xdr:from>
      <xdr:col>1</xdr:col>
      <xdr:colOff>1</xdr:colOff>
      <xdr:row>20</xdr:row>
      <xdr:rowOff>43655</xdr:rowOff>
    </xdr:from>
    <xdr:to>
      <xdr:col>23</xdr:col>
      <xdr:colOff>365125</xdr:colOff>
      <xdr:row>29</xdr:row>
      <xdr:rowOff>182562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8</xdr:col>
      <xdr:colOff>654844</xdr:colOff>
      <xdr:row>19</xdr:row>
      <xdr:rowOff>166687</xdr:rowOff>
    </xdr:from>
    <xdr:ext cx="2164632" cy="311496"/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 txBox="1"/>
      </xdr:nvSpPr>
      <xdr:spPr>
        <a:xfrm>
          <a:off x="5345907" y="4131468"/>
          <a:ext cx="2164632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GB" sz="1400" b="0" i="0" u="none" strike="noStrike" kern="1200" baseline="0">
              <a:solidFill>
                <a:srgbClr val="44546A"/>
              </a:solidFill>
              <a:latin typeface="+mn-lt"/>
              <a:ea typeface="+mn-ea"/>
              <a:cs typeface="+mn-cs"/>
            </a:rPr>
            <a:t>Labor Cost vs Material Cost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180975</xdr:colOff>
          <xdr:row>4</xdr:row>
          <xdr:rowOff>66675</xdr:rowOff>
        </xdr:from>
        <xdr:to>
          <xdr:col>25</xdr:col>
          <xdr:colOff>685800</xdr:colOff>
          <xdr:row>6</xdr:row>
          <xdr:rowOff>9525</xdr:rowOff>
        </xdr:to>
        <xdr:sp macro="" textlink="">
          <xdr:nvSpPr>
            <xdr:cNvPr id="3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Input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180975</xdr:colOff>
          <xdr:row>7</xdr:row>
          <xdr:rowOff>66675</xdr:rowOff>
        </xdr:from>
        <xdr:to>
          <xdr:col>25</xdr:col>
          <xdr:colOff>685800</xdr:colOff>
          <xdr:row>9</xdr:row>
          <xdr:rowOff>28575</xdr:rowOff>
        </xdr:to>
        <xdr:sp macro="" textlink="">
          <xdr:nvSpPr>
            <xdr:cNvPr id="9236" name="Button 20" hidden="1">
              <a:extLst>
                <a:ext uri="{63B3BB69-23CF-44E3-9099-C40C66FF867C}">
                  <a14:compatExt spid="_x0000_s9236"/>
                </a:ext>
                <a:ext uri="{FF2B5EF4-FFF2-40B4-BE49-F238E27FC236}">
                  <a16:creationId xmlns:a16="http://schemas.microsoft.com/office/drawing/2014/main" id="{00000000-0008-0000-0300-00001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Upgrades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180975</xdr:colOff>
          <xdr:row>10</xdr:row>
          <xdr:rowOff>104775</xdr:rowOff>
        </xdr:from>
        <xdr:to>
          <xdr:col>25</xdr:col>
          <xdr:colOff>685800</xdr:colOff>
          <xdr:row>12</xdr:row>
          <xdr:rowOff>66675</xdr:rowOff>
        </xdr:to>
        <xdr:sp macro="" textlink="">
          <xdr:nvSpPr>
            <xdr:cNvPr id="9237" name="Button 21" hidden="1">
              <a:extLst>
                <a:ext uri="{63B3BB69-23CF-44E3-9099-C40C66FF867C}">
                  <a14:compatExt spid="_x0000_s9237"/>
                </a:ext>
                <a:ext uri="{FF2B5EF4-FFF2-40B4-BE49-F238E27FC236}">
                  <a16:creationId xmlns:a16="http://schemas.microsoft.com/office/drawing/2014/main" id="{00000000-0008-0000-0300-00001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161925</xdr:colOff>
          <xdr:row>13</xdr:row>
          <xdr:rowOff>123825</xdr:rowOff>
        </xdr:from>
        <xdr:to>
          <xdr:col>25</xdr:col>
          <xdr:colOff>676275</xdr:colOff>
          <xdr:row>15</xdr:row>
          <xdr:rowOff>85725</xdr:rowOff>
        </xdr:to>
        <xdr:sp macro="" textlink="">
          <xdr:nvSpPr>
            <xdr:cNvPr id="9238" name="Button 22" hidden="1">
              <a:extLst>
                <a:ext uri="{63B3BB69-23CF-44E3-9099-C40C66FF867C}">
                  <a14:compatExt spid="_x0000_s9238"/>
                </a:ext>
                <a:ext uri="{FF2B5EF4-FFF2-40B4-BE49-F238E27FC236}">
                  <a16:creationId xmlns:a16="http://schemas.microsoft.com/office/drawing/2014/main" id="{00000000-0008-0000-0300-00001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Cost Elements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13</xdr:col>
      <xdr:colOff>23813</xdr:colOff>
      <xdr:row>20</xdr:row>
      <xdr:rowOff>71437</xdr:rowOff>
    </xdr:from>
    <xdr:to>
      <xdr:col>15</xdr:col>
      <xdr:colOff>20188</xdr:colOff>
      <xdr:row>21</xdr:row>
      <xdr:rowOff>152710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167688" y="4238625"/>
          <a:ext cx="877438" cy="271773"/>
        </a:xfrm>
        <a:prstGeom prst="rect">
          <a:avLst/>
        </a:prstGeom>
      </xdr:spPr>
    </xdr:pic>
    <xdr:clientData/>
  </xdr:twoCellAnchor>
  <xdr:twoCellAnchor editAs="oneCell">
    <xdr:from>
      <xdr:col>16</xdr:col>
      <xdr:colOff>321469</xdr:colOff>
      <xdr:row>20</xdr:row>
      <xdr:rowOff>95251</xdr:rowOff>
    </xdr:from>
    <xdr:to>
      <xdr:col>19</xdr:col>
      <xdr:colOff>1057</xdr:colOff>
      <xdr:row>21</xdr:row>
      <xdr:rowOff>184289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9751219" y="4262439"/>
          <a:ext cx="892968" cy="279538"/>
        </a:xfrm>
        <a:prstGeom prst="rect">
          <a:avLst/>
        </a:prstGeom>
      </xdr:spPr>
    </xdr:pic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0.26062</cdr:x>
      <cdr:y>0</cdr:y>
    </cdr:from>
    <cdr:to>
      <cdr:x>0.75008</cdr:x>
      <cdr:y>0.09944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A337341C-B73E-4B47-A97E-74265337C725}"/>
            </a:ext>
          </a:extLst>
        </cdr:cNvPr>
        <cdr:cNvSpPr txBox="1"/>
      </cdr:nvSpPr>
      <cdr:spPr>
        <a:xfrm xmlns:a="http://schemas.openxmlformats.org/drawingml/2006/main">
          <a:off x="571500" y="0"/>
          <a:ext cx="1073327" cy="22621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 anchor="ctr"/>
        <a:lstStyle xmlns:a="http://schemas.openxmlformats.org/drawingml/2006/main"/>
        <a:p xmlns:a="http://schemas.openxmlformats.org/drawingml/2006/main">
          <a:pPr algn="ctr"/>
          <a:r>
            <a:rPr lang="en-GB" sz="1400" b="0" i="0" u="none" strike="noStrike" kern="1200" baseline="0">
              <a:solidFill>
                <a:srgbClr val="44546A"/>
              </a:solidFill>
              <a:latin typeface="+mn-lt"/>
              <a:ea typeface="+mn-ea"/>
              <a:cs typeface="+mn-cs"/>
            </a:rPr>
            <a:t>Initial</a:t>
          </a:r>
          <a:r>
            <a:rPr lang="en-GB" sz="1400"/>
            <a:t> </a:t>
          </a:r>
          <a:r>
            <a:rPr lang="en-GB" sz="1400" b="0" i="0" u="none" strike="noStrike" kern="1200" baseline="0">
              <a:solidFill>
                <a:srgbClr val="44546A"/>
              </a:solidFill>
              <a:latin typeface="+mn-lt"/>
              <a:ea typeface="+mn-ea"/>
              <a:cs typeface="+mn-cs"/>
            </a:rPr>
            <a:t>CapEx</a:t>
          </a: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0.00226</cdr:x>
      <cdr:y>0.77482</cdr:y>
    </cdr:from>
    <cdr:to>
      <cdr:x>0.13503</cdr:x>
      <cdr:y>1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A2D06386-0488-4223-A0B4-29A2F635DF3A}"/>
            </a:ext>
          </a:extLst>
        </cdr:cNvPr>
        <cdr:cNvSpPr txBox="1"/>
      </cdr:nvSpPr>
      <cdr:spPr>
        <a:xfrm xmlns:a="http://schemas.openxmlformats.org/drawingml/2006/main">
          <a:off x="15876" y="1775309"/>
          <a:ext cx="934358" cy="51593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GB" sz="1100" b="0">
              <a:solidFill>
                <a:sysClr val="windowText" lastClr="000000"/>
              </a:solidFill>
              <a:latin typeface="+mj-lt"/>
            </a:rPr>
            <a:t>Year of </a:t>
          </a:r>
        </a:p>
        <a:p xmlns:a="http://schemas.openxmlformats.org/drawingml/2006/main">
          <a:r>
            <a:rPr lang="en-GB" sz="1100" b="0">
              <a:solidFill>
                <a:sysClr val="windowText" lastClr="000000"/>
              </a:solidFill>
              <a:latin typeface="+mj-lt"/>
            </a:rPr>
            <a:t>Upgrade </a:t>
          </a:r>
          <a:r>
            <a:rPr lang="en-GB" sz="1100" b="0">
              <a:solidFill>
                <a:sysClr val="windowText" lastClr="000000"/>
              </a:solidFill>
              <a:latin typeface="Calibri Light" panose="020F0302020204030204" pitchFamily="34" charset="0"/>
              <a:cs typeface="Calibri Light" panose="020F0302020204030204" pitchFamily="34" charset="0"/>
            </a:rPr>
            <a:t>→</a:t>
          </a:r>
          <a:r>
            <a:rPr lang="en-GB" sz="1100" b="0">
              <a:solidFill>
                <a:sysClr val="windowText" lastClr="000000"/>
              </a:solidFill>
              <a:latin typeface="+mj-lt"/>
            </a:rPr>
            <a:t> </a:t>
          </a:r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</cdr:x>
      <cdr:y>0.75375</cdr:y>
    </cdr:from>
    <cdr:to>
      <cdr:x>0.05033</cdr:x>
      <cdr:y>1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A2D06386-0488-4223-A0B4-29A2F635DF3A}"/>
            </a:ext>
          </a:extLst>
        </cdr:cNvPr>
        <cdr:cNvSpPr txBox="1"/>
      </cdr:nvSpPr>
      <cdr:spPr>
        <a:xfrm xmlns:a="http://schemas.openxmlformats.org/drawingml/2006/main">
          <a:off x="0" y="1397001"/>
          <a:ext cx="632000" cy="45640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GB" sz="1000" b="0">
              <a:solidFill>
                <a:sysClr val="windowText" lastClr="000000"/>
              </a:solidFill>
              <a:latin typeface="+mj-lt"/>
            </a:rPr>
            <a:t>Year of </a:t>
          </a:r>
        </a:p>
        <a:p xmlns:a="http://schemas.openxmlformats.org/drawingml/2006/main">
          <a:r>
            <a:rPr lang="en-GB" sz="1000" b="0">
              <a:solidFill>
                <a:sysClr val="windowText" lastClr="000000"/>
              </a:solidFill>
              <a:latin typeface="+mj-lt"/>
            </a:rPr>
            <a:t>Upgrade </a:t>
          </a:r>
          <a:r>
            <a:rPr lang="en-GB" sz="1000" b="0">
              <a:solidFill>
                <a:sysClr val="windowText" lastClr="000000"/>
              </a:solidFill>
              <a:latin typeface="Calibri Light" panose="020F0302020204030204" pitchFamily="34" charset="0"/>
              <a:cs typeface="Calibri Light" panose="020F0302020204030204" pitchFamily="34" charset="0"/>
            </a:rPr>
            <a:t>→</a:t>
          </a:r>
          <a:r>
            <a:rPr lang="en-GB" sz="1000" b="0">
              <a:solidFill>
                <a:sysClr val="windowText" lastClr="000000"/>
              </a:solidFill>
              <a:latin typeface="+mj-lt"/>
            </a:rPr>
            <a:t> </a:t>
          </a:r>
        </a:p>
      </cdr:txBody>
    </cdr:sp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38100</xdr:colOff>
      <xdr:row>2</xdr:row>
      <xdr:rowOff>38100</xdr:rowOff>
    </xdr:from>
    <xdr:to>
      <xdr:col>5</xdr:col>
      <xdr:colOff>152400</xdr:colOff>
      <xdr:row>4</xdr:row>
      <xdr:rowOff>25400</xdr:rowOff>
    </xdr:to>
    <xdr:sp macro="" textlink="">
      <xdr:nvSpPr>
        <xdr:cNvPr id="5129" name="CommandButton1" hidden="1">
          <a:extLst>
            <a:ext uri="{63B3BB69-23CF-44E3-9099-C40C66FF867C}">
              <a14:compatExt xmlns:a14="http://schemas.microsoft.com/office/drawing/2010/main" spid="_x0000_s5129"/>
            </a:ext>
            <a:ext uri="{FF2B5EF4-FFF2-40B4-BE49-F238E27FC236}">
              <a16:creationId xmlns:a16="http://schemas.microsoft.com/office/drawing/2014/main" id="{00000000-0008-0000-0400-0000091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12</xdr:col>
      <xdr:colOff>268117</xdr:colOff>
      <xdr:row>0</xdr:row>
      <xdr:rowOff>49389</xdr:rowOff>
    </xdr:from>
    <xdr:to>
      <xdr:col>15</xdr:col>
      <xdr:colOff>518743</xdr:colOff>
      <xdr:row>0</xdr:row>
      <xdr:rowOff>414304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95284" y="49389"/>
          <a:ext cx="2176792" cy="364915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25400</xdr:colOff>
      <xdr:row>77</xdr:row>
      <xdr:rowOff>25400</xdr:rowOff>
    </xdr:from>
    <xdr:to>
      <xdr:col>5</xdr:col>
      <xdr:colOff>215900</xdr:colOff>
      <xdr:row>79</xdr:row>
      <xdr:rowOff>25400</xdr:rowOff>
    </xdr:to>
    <xdr:sp macro="" textlink="">
      <xdr:nvSpPr>
        <xdr:cNvPr id="5130" name="CommandButton2" hidden="1">
          <a:extLst>
            <a:ext uri="{63B3BB69-23CF-44E3-9099-C40C66FF867C}">
              <a14:compatExt xmlns:a14="http://schemas.microsoft.com/office/drawing/2010/main" spid="_x0000_s5130"/>
            </a:ext>
            <a:ext uri="{FF2B5EF4-FFF2-40B4-BE49-F238E27FC236}">
              <a16:creationId xmlns:a16="http://schemas.microsoft.com/office/drawing/2014/main" id="{00000000-0008-0000-0400-00000A1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38100</xdr:colOff>
      <xdr:row>85</xdr:row>
      <xdr:rowOff>25400</xdr:rowOff>
    </xdr:from>
    <xdr:to>
      <xdr:col>5</xdr:col>
      <xdr:colOff>203200</xdr:colOff>
      <xdr:row>87</xdr:row>
      <xdr:rowOff>25400</xdr:rowOff>
    </xdr:to>
    <xdr:sp macro="" textlink="">
      <xdr:nvSpPr>
        <xdr:cNvPr id="5131" name="CommandButton3" hidden="1">
          <a:extLst>
            <a:ext uri="{63B3BB69-23CF-44E3-9099-C40C66FF867C}">
              <a14:compatExt xmlns:a14="http://schemas.microsoft.com/office/drawing/2010/main" spid="_x0000_s5131"/>
            </a:ext>
            <a:ext uri="{FF2B5EF4-FFF2-40B4-BE49-F238E27FC236}">
              <a16:creationId xmlns:a16="http://schemas.microsoft.com/office/drawing/2014/main" id="{00000000-0008-0000-0400-00000B1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25400</xdr:colOff>
      <xdr:row>93</xdr:row>
      <xdr:rowOff>12700</xdr:rowOff>
    </xdr:from>
    <xdr:to>
      <xdr:col>5</xdr:col>
      <xdr:colOff>190500</xdr:colOff>
      <xdr:row>95</xdr:row>
      <xdr:rowOff>12700</xdr:rowOff>
    </xdr:to>
    <xdr:sp macro="" textlink="">
      <xdr:nvSpPr>
        <xdr:cNvPr id="5132" name="CommandButton4" hidden="1">
          <a:extLst>
            <a:ext uri="{63B3BB69-23CF-44E3-9099-C40C66FF867C}">
              <a14:compatExt xmlns:a14="http://schemas.microsoft.com/office/drawing/2010/main" spid="_x0000_s5132"/>
            </a:ext>
            <a:ext uri="{FF2B5EF4-FFF2-40B4-BE49-F238E27FC236}">
              <a16:creationId xmlns:a16="http://schemas.microsoft.com/office/drawing/2014/main" id="{00000000-0008-0000-0400-00000C1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25400</xdr:colOff>
      <xdr:row>104</xdr:row>
      <xdr:rowOff>25400</xdr:rowOff>
    </xdr:from>
    <xdr:to>
      <xdr:col>5</xdr:col>
      <xdr:colOff>279400</xdr:colOff>
      <xdr:row>106</xdr:row>
      <xdr:rowOff>38100</xdr:rowOff>
    </xdr:to>
    <xdr:sp macro="" textlink="">
      <xdr:nvSpPr>
        <xdr:cNvPr id="5133" name="CommandButton5" hidden="1">
          <a:extLst>
            <a:ext uri="{63B3BB69-23CF-44E3-9099-C40C66FF867C}">
              <a14:compatExt xmlns:a14="http://schemas.microsoft.com/office/drawing/2010/main" spid="_x0000_s5133"/>
            </a:ext>
            <a:ext uri="{FF2B5EF4-FFF2-40B4-BE49-F238E27FC236}">
              <a16:creationId xmlns:a16="http://schemas.microsoft.com/office/drawing/2014/main" id="{00000000-0008-0000-0400-00000D1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76200</xdr:colOff>
      <xdr:row>1</xdr:row>
      <xdr:rowOff>25400</xdr:rowOff>
    </xdr:from>
    <xdr:to>
      <xdr:col>11</xdr:col>
      <xdr:colOff>508000</xdr:colOff>
      <xdr:row>1</xdr:row>
      <xdr:rowOff>381000</xdr:rowOff>
    </xdr:to>
    <xdr:sp macro="" textlink="">
      <xdr:nvSpPr>
        <xdr:cNvPr id="5134" name="CommandButton6" hidden="1">
          <a:extLst>
            <a:ext uri="{63B3BB69-23CF-44E3-9099-C40C66FF867C}">
              <a14:compatExt xmlns:a14="http://schemas.microsoft.com/office/drawing/2010/main" spid="_x0000_s5134"/>
            </a:ext>
            <a:ext uri="{FF2B5EF4-FFF2-40B4-BE49-F238E27FC236}">
              <a16:creationId xmlns:a16="http://schemas.microsoft.com/office/drawing/2014/main" id="{00000000-0008-0000-0400-00000E1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11</xdr:col>
      <xdr:colOff>596900</xdr:colOff>
      <xdr:row>1</xdr:row>
      <xdr:rowOff>38100</xdr:rowOff>
    </xdr:from>
    <xdr:to>
      <xdr:col>13</xdr:col>
      <xdr:colOff>406400</xdr:colOff>
      <xdr:row>1</xdr:row>
      <xdr:rowOff>381000</xdr:rowOff>
    </xdr:to>
    <xdr:sp macro="" textlink="">
      <xdr:nvSpPr>
        <xdr:cNvPr id="5135" name="CommandButton7" hidden="1">
          <a:extLst>
            <a:ext uri="{63B3BB69-23CF-44E3-9099-C40C66FF867C}">
              <a14:compatExt xmlns:a14="http://schemas.microsoft.com/office/drawing/2010/main" spid="_x0000_s5135"/>
            </a:ext>
            <a:ext uri="{FF2B5EF4-FFF2-40B4-BE49-F238E27FC236}">
              <a16:creationId xmlns:a16="http://schemas.microsoft.com/office/drawing/2014/main" id="{00000000-0008-0000-0400-00000F1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8</xdr:col>
      <xdr:colOff>190500</xdr:colOff>
      <xdr:row>1</xdr:row>
      <xdr:rowOff>38100</xdr:rowOff>
    </xdr:from>
    <xdr:to>
      <xdr:col>10</xdr:col>
      <xdr:colOff>1587</xdr:colOff>
      <xdr:row>1</xdr:row>
      <xdr:rowOff>381000</xdr:rowOff>
    </xdr:to>
    <xdr:sp macro="" textlink="">
      <xdr:nvSpPr>
        <xdr:cNvPr id="5136" name="CommandButton8" hidden="1">
          <a:extLst>
            <a:ext uri="{63B3BB69-23CF-44E3-9099-C40C66FF867C}">
              <a14:compatExt xmlns:a14="http://schemas.microsoft.com/office/drawing/2010/main" spid="_x0000_s5136"/>
            </a:ext>
            <a:ext uri="{FF2B5EF4-FFF2-40B4-BE49-F238E27FC236}">
              <a16:creationId xmlns:a16="http://schemas.microsoft.com/office/drawing/2014/main" id="{00000000-0008-0000-0400-0000101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1121835</xdr:colOff>
      <xdr:row>0</xdr:row>
      <xdr:rowOff>56446</xdr:rowOff>
    </xdr:from>
    <xdr:to>
      <xdr:col>8</xdr:col>
      <xdr:colOff>317501</xdr:colOff>
      <xdr:row>0</xdr:row>
      <xdr:rowOff>429508</xdr:rowOff>
    </xdr:to>
    <xdr:sp macro="" textlink="">
      <xdr:nvSpPr>
        <xdr:cNvPr id="11" name="Rectangle: Diagonal Corners Snipped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SpPr/>
      </xdr:nvSpPr>
      <xdr:spPr>
        <a:xfrm>
          <a:off x="2349502" y="56446"/>
          <a:ext cx="5185832" cy="373062"/>
        </a:xfrm>
        <a:prstGeom prst="snip2DiagRect">
          <a:avLst/>
        </a:prstGeom>
        <a:solidFill>
          <a:schemeClr val="tx1">
            <a:lumMod val="85000"/>
            <a:lumOff val="15000"/>
          </a:schemeClr>
        </a:solidFill>
        <a:ln>
          <a:solidFill>
            <a:schemeClr val="tx1">
              <a:lumMod val="85000"/>
              <a:lumOff val="15000"/>
            </a:schemeClr>
          </a:solidFill>
        </a:ln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400" b="1">
              <a:latin typeface="+mn-lt"/>
            </a:rPr>
            <a:t>Cost Elements of input</a:t>
          </a:r>
          <a:r>
            <a:rPr lang="en-GB" sz="2400" b="1" baseline="0">
              <a:latin typeface="+mn-lt"/>
            </a:rPr>
            <a:t> variables</a:t>
          </a:r>
          <a:endParaRPr lang="en-GB" sz="2400" b="1">
            <a:latin typeface="+mn-lt"/>
          </a:endParaRPr>
        </a:p>
      </xdr:txBody>
    </xdr:sp>
    <xdr:clientData/>
  </xdr:twoCellAnchor>
  <xdr:twoCellAnchor editAs="oneCell">
    <xdr:from>
      <xdr:col>13</xdr:col>
      <xdr:colOff>508000</xdr:colOff>
      <xdr:row>1</xdr:row>
      <xdr:rowOff>38100</xdr:rowOff>
    </xdr:from>
    <xdr:to>
      <xdr:col>15</xdr:col>
      <xdr:colOff>317500</xdr:colOff>
      <xdr:row>1</xdr:row>
      <xdr:rowOff>368300</xdr:rowOff>
    </xdr:to>
    <xdr:sp macro="" textlink="">
      <xdr:nvSpPr>
        <xdr:cNvPr id="5137" name="CommandButton9" hidden="1">
          <a:extLst>
            <a:ext uri="{63B3BB69-23CF-44E3-9099-C40C66FF867C}">
              <a14:compatExt xmlns:a14="http://schemas.microsoft.com/office/drawing/2010/main" spid="_x0000_s5137"/>
            </a:ext>
            <a:ext uri="{FF2B5EF4-FFF2-40B4-BE49-F238E27FC236}">
              <a16:creationId xmlns:a16="http://schemas.microsoft.com/office/drawing/2014/main" id="{00000000-0008-0000-0400-0000111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59973</xdr:colOff>
      <xdr:row>4</xdr:row>
      <xdr:rowOff>186969</xdr:rowOff>
    </xdr:from>
    <xdr:to>
      <xdr:col>6</xdr:col>
      <xdr:colOff>211666</xdr:colOff>
      <xdr:row>8</xdr:row>
      <xdr:rowOff>172859</xdr:rowOff>
    </xdr:to>
    <xdr:sp macro="" textlink="">
      <xdr:nvSpPr>
        <xdr:cNvPr id="2" name="Callout: Down Arrow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4081640" y="1425219"/>
          <a:ext cx="1908526" cy="747890"/>
        </a:xfrm>
        <a:prstGeom prst="downArrowCallout">
          <a:avLst/>
        </a:prstGeom>
        <a:solidFill>
          <a:schemeClr val="bg1">
            <a:lumMod val="95000"/>
          </a:schemeClr>
        </a:solidFill>
        <a:ln>
          <a:solidFill>
            <a:schemeClr val="bg1">
              <a:lumMod val="50000"/>
            </a:schemeClr>
          </a:solidFill>
        </a:ln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>
              <a:solidFill>
                <a:sysClr val="windowText" lastClr="000000"/>
              </a:solidFill>
            </a:rPr>
            <a:t>Scroll down to see all cost elements </a:t>
          </a:r>
        </a:p>
      </xdr:txBody>
    </xdr:sp>
    <xdr:clientData/>
  </xdr:twoCellAnchor>
  <xdr:twoCellAnchor editAs="oneCell">
    <xdr:from>
      <xdr:col>3</xdr:col>
      <xdr:colOff>25400</xdr:colOff>
      <xdr:row>77</xdr:row>
      <xdr:rowOff>25400</xdr:rowOff>
    </xdr:from>
    <xdr:to>
      <xdr:col>5</xdr:col>
      <xdr:colOff>215900</xdr:colOff>
      <xdr:row>79</xdr:row>
      <xdr:rowOff>25400</xdr:rowOff>
    </xdr:to>
    <xdr:pic>
      <xdr:nvPicPr>
        <xdr:cNvPr id="5" name="CommandButton2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22800" y="15176500"/>
          <a:ext cx="1498600" cy="381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38100</xdr:colOff>
      <xdr:row>85</xdr:row>
      <xdr:rowOff>25400</xdr:rowOff>
    </xdr:from>
    <xdr:to>
      <xdr:col>5</xdr:col>
      <xdr:colOff>203200</xdr:colOff>
      <xdr:row>87</xdr:row>
      <xdr:rowOff>25400</xdr:rowOff>
    </xdr:to>
    <xdr:pic>
      <xdr:nvPicPr>
        <xdr:cNvPr id="6" name="CommandButton3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35500" y="16700500"/>
          <a:ext cx="1473200" cy="381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25400</xdr:colOff>
      <xdr:row>93</xdr:row>
      <xdr:rowOff>12700</xdr:rowOff>
    </xdr:from>
    <xdr:to>
      <xdr:col>5</xdr:col>
      <xdr:colOff>190500</xdr:colOff>
      <xdr:row>95</xdr:row>
      <xdr:rowOff>12700</xdr:rowOff>
    </xdr:to>
    <xdr:pic>
      <xdr:nvPicPr>
        <xdr:cNvPr id="7" name="CommandButton4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22800" y="18211800"/>
          <a:ext cx="1473200" cy="381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25400</xdr:colOff>
      <xdr:row>104</xdr:row>
      <xdr:rowOff>25400</xdr:rowOff>
    </xdr:from>
    <xdr:to>
      <xdr:col>5</xdr:col>
      <xdr:colOff>279400</xdr:colOff>
      <xdr:row>106</xdr:row>
      <xdr:rowOff>38100</xdr:rowOff>
    </xdr:to>
    <xdr:pic>
      <xdr:nvPicPr>
        <xdr:cNvPr id="8" name="CommandButton5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22800" y="20320000"/>
          <a:ext cx="1562100" cy="393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104775</xdr:colOff>
          <xdr:row>1</xdr:row>
          <xdr:rowOff>38100</xdr:rowOff>
        </xdr:from>
        <xdr:to>
          <xdr:col>10</xdr:col>
          <xdr:colOff>9525</xdr:colOff>
          <xdr:row>1</xdr:row>
          <xdr:rowOff>371475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4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Input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104775</xdr:colOff>
          <xdr:row>1</xdr:row>
          <xdr:rowOff>38100</xdr:rowOff>
        </xdr:from>
        <xdr:to>
          <xdr:col>11</xdr:col>
          <xdr:colOff>561975</xdr:colOff>
          <xdr:row>1</xdr:row>
          <xdr:rowOff>371475</xdr:rowOff>
        </xdr:to>
        <xdr:sp macro="" textlink="">
          <xdr:nvSpPr>
            <xdr:cNvPr id="10246" name="Button 6" hidden="1">
              <a:extLst>
                <a:ext uri="{63B3BB69-23CF-44E3-9099-C40C66FF867C}">
                  <a14:compatExt spid="_x0000_s10246"/>
                </a:ext>
                <a:ext uri="{FF2B5EF4-FFF2-40B4-BE49-F238E27FC236}">
                  <a16:creationId xmlns:a16="http://schemas.microsoft.com/office/drawing/2014/main" id="{00000000-0008-0000-0400-000006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Dashboard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152400</xdr:colOff>
          <xdr:row>1</xdr:row>
          <xdr:rowOff>47625</xdr:rowOff>
        </xdr:from>
        <xdr:to>
          <xdr:col>8</xdr:col>
          <xdr:colOff>28575</xdr:colOff>
          <xdr:row>1</xdr:row>
          <xdr:rowOff>352425</xdr:rowOff>
        </xdr:to>
        <xdr:sp macro="" textlink="">
          <xdr:nvSpPr>
            <xdr:cNvPr id="10248" name="Button 8" hidden="1">
              <a:extLst>
                <a:ext uri="{63B3BB69-23CF-44E3-9099-C40C66FF867C}">
                  <a14:compatExt spid="_x0000_s10248"/>
                </a:ext>
                <a:ext uri="{FF2B5EF4-FFF2-40B4-BE49-F238E27FC236}">
                  <a16:creationId xmlns:a16="http://schemas.microsoft.com/office/drawing/2014/main" id="{00000000-0008-0000-0400-000008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66CC"/>
                  </a:solidFill>
                  <a:latin typeface="Calibri"/>
                  <a:cs typeface="Calibri"/>
                </a:rPr>
                <a:t>Reset all prices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28575</xdr:colOff>
          <xdr:row>1</xdr:row>
          <xdr:rowOff>28575</xdr:rowOff>
        </xdr:from>
        <xdr:to>
          <xdr:col>13</xdr:col>
          <xdr:colOff>485775</xdr:colOff>
          <xdr:row>1</xdr:row>
          <xdr:rowOff>371475</xdr:rowOff>
        </xdr:to>
        <xdr:sp macro="" textlink="">
          <xdr:nvSpPr>
            <xdr:cNvPr id="10249" name="Button 9" hidden="1">
              <a:extLst>
                <a:ext uri="{63B3BB69-23CF-44E3-9099-C40C66FF867C}">
                  <a14:compatExt spid="_x0000_s10249"/>
                </a:ext>
                <a:ext uri="{FF2B5EF4-FFF2-40B4-BE49-F238E27FC236}">
                  <a16:creationId xmlns:a16="http://schemas.microsoft.com/office/drawing/2014/main" id="{00000000-0008-0000-0400-000009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Upgrades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581025</xdr:colOff>
          <xdr:row>1</xdr:row>
          <xdr:rowOff>38100</xdr:rowOff>
        </xdr:from>
        <xdr:to>
          <xdr:col>15</xdr:col>
          <xdr:colOff>428625</xdr:colOff>
          <xdr:row>1</xdr:row>
          <xdr:rowOff>371475</xdr:rowOff>
        </xdr:to>
        <xdr:sp macro="" textlink="">
          <xdr:nvSpPr>
            <xdr:cNvPr id="10250" name="Button 10" hidden="1">
              <a:extLst>
                <a:ext uri="{63B3BB69-23CF-44E3-9099-C40C66FF867C}">
                  <a14:compatExt spid="_x0000_s10250"/>
                </a:ext>
                <a:ext uri="{FF2B5EF4-FFF2-40B4-BE49-F238E27FC236}">
                  <a16:creationId xmlns:a16="http://schemas.microsoft.com/office/drawing/2014/main" id="{00000000-0008-0000-0400-00000A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Calculations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63500</xdr:colOff>
      <xdr:row>10</xdr:row>
      <xdr:rowOff>127000</xdr:rowOff>
    </xdr:from>
    <xdr:to>
      <xdr:col>20</xdr:col>
      <xdr:colOff>22226</xdr:colOff>
      <xdr:row>13</xdr:row>
      <xdr:rowOff>63500</xdr:rowOff>
    </xdr:to>
    <xdr:sp macro="" textlink="">
      <xdr:nvSpPr>
        <xdr:cNvPr id="12289" name="CommandButton1" hidden="1">
          <a:extLst>
            <a:ext uri="{63B3BB69-23CF-44E3-9099-C40C66FF867C}">
              <a14:compatExt xmlns:a14="http://schemas.microsoft.com/office/drawing/2010/main" spid="_x0000_s12289"/>
            </a:ext>
            <a:ext uri="{FF2B5EF4-FFF2-40B4-BE49-F238E27FC236}">
              <a16:creationId xmlns:a16="http://schemas.microsoft.com/office/drawing/2014/main" id="{00000000-0008-0000-0500-0000013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23</xdr:col>
      <xdr:colOff>115093</xdr:colOff>
      <xdr:row>126</xdr:row>
      <xdr:rowOff>47625</xdr:rowOff>
    </xdr:from>
    <xdr:to>
      <xdr:col>26</xdr:col>
      <xdr:colOff>1214437</xdr:colOff>
      <xdr:row>142</xdr:row>
      <xdr:rowOff>174625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17</xdr:col>
      <xdr:colOff>88900</xdr:colOff>
      <xdr:row>15</xdr:row>
      <xdr:rowOff>139700</xdr:rowOff>
    </xdr:from>
    <xdr:to>
      <xdr:col>20</xdr:col>
      <xdr:colOff>22226</xdr:colOff>
      <xdr:row>18</xdr:row>
      <xdr:rowOff>76200</xdr:rowOff>
    </xdr:to>
    <xdr:sp macro="" textlink="">
      <xdr:nvSpPr>
        <xdr:cNvPr id="12290" name="CommandButton2" hidden="1">
          <a:extLst>
            <a:ext uri="{63B3BB69-23CF-44E3-9099-C40C66FF867C}">
              <a14:compatExt xmlns:a14="http://schemas.microsoft.com/office/drawing/2010/main" spid="_x0000_s12290"/>
            </a:ext>
            <a:ext uri="{FF2B5EF4-FFF2-40B4-BE49-F238E27FC236}">
              <a16:creationId xmlns:a16="http://schemas.microsoft.com/office/drawing/2014/main" id="{00000000-0008-0000-0500-0000023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17</xdr:col>
      <xdr:colOff>63500</xdr:colOff>
      <xdr:row>17</xdr:row>
      <xdr:rowOff>127000</xdr:rowOff>
    </xdr:from>
    <xdr:ext cx="1854200" cy="508000"/>
    <xdr:sp macro="" textlink="">
      <xdr:nvSpPr>
        <xdr:cNvPr id="7" name="CommandButton1" hidden="1">
          <a:extLst>
            <a:ext uri="{63B3BB69-23CF-44E3-9099-C40C66FF867C}">
              <a14:compatExt xmlns:a14="http://schemas.microsoft.com/office/drawing/2010/main" spid="_x0000_s12289"/>
            </a:ex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/>
      </xdr:nvSpPr>
      <xdr:spPr bwMode="auto">
        <a:xfrm>
          <a:off x="11207750" y="2165350"/>
          <a:ext cx="1854200" cy="508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</xdr:col>
      <xdr:colOff>63500</xdr:colOff>
      <xdr:row>17</xdr:row>
      <xdr:rowOff>127000</xdr:rowOff>
    </xdr:from>
    <xdr:ext cx="1854200" cy="508000"/>
    <xdr:sp macro="" textlink="">
      <xdr:nvSpPr>
        <xdr:cNvPr id="8" name="CommandButton1" hidden="1">
          <a:extLst>
            <a:ext uri="{63B3BB69-23CF-44E3-9099-C40C66FF867C}">
              <a14:compatExt xmlns:a14="http://schemas.microsoft.com/office/drawing/2010/main" spid="_x0000_s12289"/>
            </a:ex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/>
      </xdr:nvSpPr>
      <xdr:spPr bwMode="auto">
        <a:xfrm>
          <a:off x="11207750" y="2165350"/>
          <a:ext cx="1854200" cy="508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85725</xdr:colOff>
          <xdr:row>0</xdr:row>
          <xdr:rowOff>66675</xdr:rowOff>
        </xdr:from>
        <xdr:to>
          <xdr:col>4</xdr:col>
          <xdr:colOff>561975</xdr:colOff>
          <xdr:row>0</xdr:row>
          <xdr:rowOff>447675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5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Dashboard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266700</xdr:colOff>
          <xdr:row>0</xdr:row>
          <xdr:rowOff>66675</xdr:rowOff>
        </xdr:from>
        <xdr:to>
          <xdr:col>7</xdr:col>
          <xdr:colOff>152400</xdr:colOff>
          <xdr:row>0</xdr:row>
          <xdr:rowOff>428625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5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Input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600075</xdr:colOff>
          <xdr:row>0</xdr:row>
          <xdr:rowOff>66675</xdr:rowOff>
        </xdr:from>
        <xdr:to>
          <xdr:col>9</xdr:col>
          <xdr:colOff>485775</xdr:colOff>
          <xdr:row>0</xdr:row>
          <xdr:rowOff>428625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5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Cost Elements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200025</xdr:colOff>
          <xdr:row>0</xdr:row>
          <xdr:rowOff>66675</xdr:rowOff>
        </xdr:from>
        <xdr:to>
          <xdr:col>12</xdr:col>
          <xdr:colOff>333375</xdr:colOff>
          <xdr:row>0</xdr:row>
          <xdr:rowOff>428625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5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Upgrades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chemeClr val="bg1">
            <a:lumMod val="50000"/>
          </a:schemeClr>
        </a:solidFill>
        <a:ln>
          <a:solidFill>
            <a:schemeClr val="bg1">
              <a:lumMod val="50000"/>
            </a:schemeClr>
          </a:solidFill>
        </a:ln>
      </a:spPr>
      <a:bodyPr vertOverflow="clip" horzOverflow="clip" rtlCol="0" anchor="ctr"/>
      <a:lstStyle>
        <a:defPPr algn="ctr">
          <a:defRPr sz="1100"/>
        </a:defPPr>
      </a:lstStyle>
      <a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9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8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7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22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21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C3EFFA-B0F7-4C0D-87D5-822C1258EB43}">
  <sheetPr codeName="Sheet5">
    <tabColor theme="8" tint="-0.249977111117893"/>
  </sheetPr>
  <dimension ref="A1:Z51"/>
  <sheetViews>
    <sheetView zoomScale="80" zoomScaleNormal="80" workbookViewId="0">
      <pane ySplit="4" topLeftCell="A5" activePane="bottomLeft" state="frozen"/>
      <selection pane="bottomLeft" activeCell="K13" sqref="K13"/>
    </sheetView>
  </sheetViews>
  <sheetFormatPr defaultColWidth="8.85546875" defaultRowHeight="15" x14ac:dyDescent="0.25"/>
  <cols>
    <col min="1" max="1" width="10.42578125" style="12" customWidth="1"/>
    <col min="2" max="2" width="20.42578125" style="41" customWidth="1"/>
    <col min="3" max="3" width="19.7109375" style="41" customWidth="1"/>
    <col min="4" max="4" width="10.85546875" style="59" customWidth="1"/>
    <col min="5" max="5" width="10.85546875" style="45" customWidth="1"/>
    <col min="6" max="8" width="9.42578125" style="12" customWidth="1"/>
    <col min="9" max="9" width="9.7109375" style="12" bestFit="1" customWidth="1"/>
    <col min="16" max="16" width="9.42578125" customWidth="1"/>
  </cols>
  <sheetData>
    <row r="1" spans="1:26" s="11" customFormat="1" ht="16.5" customHeight="1" x14ac:dyDescent="0.25">
      <c r="A1" s="367" t="s">
        <v>98</v>
      </c>
      <c r="B1" s="283"/>
      <c r="C1" s="47" t="s">
        <v>194</v>
      </c>
      <c r="D1" s="50">
        <v>74</v>
      </c>
      <c r="E1" s="50">
        <v>76</v>
      </c>
      <c r="F1" s="50">
        <v>78</v>
      </c>
      <c r="G1" s="50">
        <v>80</v>
      </c>
      <c r="H1" s="50">
        <v>81</v>
      </c>
      <c r="I1" s="50"/>
      <c r="J1" s="50"/>
      <c r="K1" s="50"/>
      <c r="L1" s="50"/>
      <c r="M1" s="50"/>
      <c r="N1" s="50"/>
      <c r="O1" s="50"/>
      <c r="P1" s="50"/>
      <c r="Q1" s="50"/>
      <c r="R1" s="50"/>
      <c r="S1" s="50"/>
      <c r="T1" s="50"/>
      <c r="U1" s="50"/>
      <c r="V1" s="50"/>
      <c r="W1" s="50"/>
      <c r="X1" s="50"/>
      <c r="Y1" s="50"/>
      <c r="Z1" s="50"/>
    </row>
    <row r="2" spans="1:26" s="64" customFormat="1" ht="16.5" customHeight="1" x14ac:dyDescent="0.2">
      <c r="A2" s="367"/>
      <c r="B2" s="284"/>
      <c r="C2" s="287" t="s">
        <v>195</v>
      </c>
      <c r="D2" s="62"/>
      <c r="E2" s="286">
        <f>(E1-D1)/100</f>
        <v>0.02</v>
      </c>
      <c r="F2" s="63">
        <f t="shared" ref="F2:Z2" si="0">(F1-E1)/100</f>
        <v>0.02</v>
      </c>
      <c r="G2" s="63">
        <f t="shared" si="0"/>
        <v>0.02</v>
      </c>
      <c r="H2" s="63">
        <f t="shared" si="0"/>
        <v>0.01</v>
      </c>
      <c r="I2" s="63">
        <f t="shared" si="0"/>
        <v>-0.81</v>
      </c>
      <c r="J2" s="63">
        <f t="shared" si="0"/>
        <v>0</v>
      </c>
      <c r="K2" s="63">
        <f t="shared" si="0"/>
        <v>0</v>
      </c>
      <c r="L2" s="63">
        <f t="shared" si="0"/>
        <v>0</v>
      </c>
      <c r="M2" s="63">
        <f t="shared" si="0"/>
        <v>0</v>
      </c>
      <c r="N2" s="63">
        <f t="shared" si="0"/>
        <v>0</v>
      </c>
      <c r="O2" s="63">
        <f t="shared" si="0"/>
        <v>0</v>
      </c>
      <c r="P2" s="63">
        <f t="shared" si="0"/>
        <v>0</v>
      </c>
      <c r="Q2" s="63">
        <f t="shared" si="0"/>
        <v>0</v>
      </c>
      <c r="R2" s="63">
        <f t="shared" si="0"/>
        <v>0</v>
      </c>
      <c r="S2" s="63">
        <f t="shared" si="0"/>
        <v>0</v>
      </c>
      <c r="T2" s="63">
        <f t="shared" si="0"/>
        <v>0</v>
      </c>
      <c r="U2" s="63">
        <f t="shared" si="0"/>
        <v>0</v>
      </c>
      <c r="V2" s="63">
        <f t="shared" si="0"/>
        <v>0</v>
      </c>
      <c r="W2" s="63">
        <f t="shared" si="0"/>
        <v>0</v>
      </c>
      <c r="X2" s="63">
        <f t="shared" si="0"/>
        <v>0</v>
      </c>
      <c r="Y2" s="63">
        <f t="shared" si="0"/>
        <v>0</v>
      </c>
      <c r="Z2" s="63">
        <f t="shared" si="0"/>
        <v>0</v>
      </c>
    </row>
    <row r="3" spans="1:26" s="64" customFormat="1" ht="16.5" customHeight="1" x14ac:dyDescent="0.2">
      <c r="A3" s="367"/>
      <c r="B3" s="284"/>
      <c r="C3" s="287" t="s">
        <v>196</v>
      </c>
      <c r="D3" s="62"/>
      <c r="E3" s="65">
        <f>E2/D1*100</f>
        <v>2.7027027027027029E-2</v>
      </c>
      <c r="F3" s="65">
        <f t="shared" ref="F3:H3" si="1">F2/E1*100</f>
        <v>2.6315789473684209E-2</v>
      </c>
      <c r="G3" s="65">
        <f t="shared" si="1"/>
        <v>2.564102564102564E-2</v>
      </c>
      <c r="H3" s="65">
        <f t="shared" si="1"/>
        <v>1.2500000000000001E-2</v>
      </c>
      <c r="I3" s="65">
        <f t="shared" ref="I3" si="2">I2/H1*100</f>
        <v>-1</v>
      </c>
      <c r="J3" s="65" t="e">
        <f t="shared" ref="J3" si="3">J2/I1*100</f>
        <v>#DIV/0!</v>
      </c>
      <c r="K3" s="65" t="e">
        <f t="shared" ref="K3" si="4">K2/J1*100</f>
        <v>#DIV/0!</v>
      </c>
      <c r="L3" s="65" t="e">
        <f t="shared" ref="L3" si="5">L2/K1*100</f>
        <v>#DIV/0!</v>
      </c>
      <c r="M3" s="65" t="e">
        <f t="shared" ref="M3" si="6">M2/L1*100</f>
        <v>#DIV/0!</v>
      </c>
      <c r="N3" s="65" t="e">
        <f t="shared" ref="N3" si="7">N2/M1*100</f>
        <v>#DIV/0!</v>
      </c>
      <c r="O3" s="65" t="e">
        <f t="shared" ref="O3" si="8">O2/N1*100</f>
        <v>#DIV/0!</v>
      </c>
      <c r="P3" s="65" t="e">
        <f t="shared" ref="P3" si="9">P2/O1*100</f>
        <v>#DIV/0!</v>
      </c>
      <c r="Q3" s="65" t="e">
        <f t="shared" ref="Q3" si="10">Q2/P1*100</f>
        <v>#DIV/0!</v>
      </c>
      <c r="R3" s="65" t="e">
        <f t="shared" ref="R3" si="11">R2/Q1*100</f>
        <v>#DIV/0!</v>
      </c>
      <c r="S3" s="65" t="e">
        <f t="shared" ref="S3" si="12">S2/R1*100</f>
        <v>#DIV/0!</v>
      </c>
      <c r="T3" s="65" t="e">
        <f t="shared" ref="T3" si="13">T2/S1*100</f>
        <v>#DIV/0!</v>
      </c>
      <c r="U3" s="65" t="e">
        <f t="shared" ref="U3" si="14">U2/T1*100</f>
        <v>#DIV/0!</v>
      </c>
      <c r="V3" s="65" t="e">
        <f t="shared" ref="V3" si="15">V2/U1*100</f>
        <v>#DIV/0!</v>
      </c>
      <c r="W3" s="65" t="e">
        <f t="shared" ref="W3" si="16">W2/V1*100</f>
        <v>#DIV/0!</v>
      </c>
      <c r="X3" s="65" t="e">
        <f t="shared" ref="X3" si="17">X2/W1*100</f>
        <v>#DIV/0!</v>
      </c>
      <c r="Y3" s="65" t="e">
        <f t="shared" ref="Y3" si="18">Y2/X1*100</f>
        <v>#DIV/0!</v>
      </c>
      <c r="Z3" s="65" t="e">
        <f t="shared" ref="Z3" si="19">Z2/Y1*100</f>
        <v>#DIV/0!</v>
      </c>
    </row>
    <row r="4" spans="1:26" s="49" customFormat="1" ht="27.75" customHeight="1" x14ac:dyDescent="0.25">
      <c r="A4" s="51"/>
      <c r="B4" s="46" t="s">
        <v>79</v>
      </c>
      <c r="C4" s="249" t="s">
        <v>99</v>
      </c>
      <c r="D4" s="60" t="s">
        <v>100</v>
      </c>
      <c r="E4" s="53" t="s">
        <v>101</v>
      </c>
      <c r="F4" s="53" t="s">
        <v>100</v>
      </c>
      <c r="G4" s="53" t="s">
        <v>100</v>
      </c>
      <c r="H4" s="53" t="s">
        <v>100</v>
      </c>
      <c r="I4" s="53" t="s">
        <v>100</v>
      </c>
      <c r="J4" s="53" t="s">
        <v>100</v>
      </c>
      <c r="K4" s="53" t="s">
        <v>100</v>
      </c>
      <c r="L4" s="53" t="s">
        <v>100</v>
      </c>
      <c r="M4" s="53" t="s">
        <v>100</v>
      </c>
      <c r="N4" s="53" t="s">
        <v>100</v>
      </c>
      <c r="O4" s="53" t="s">
        <v>100</v>
      </c>
      <c r="P4" s="53" t="s">
        <v>100</v>
      </c>
      <c r="Q4" s="53" t="s">
        <v>100</v>
      </c>
      <c r="R4" s="53" t="s">
        <v>100</v>
      </c>
      <c r="S4" s="53" t="s">
        <v>100</v>
      </c>
      <c r="T4" s="53" t="s">
        <v>100</v>
      </c>
      <c r="U4" s="53" t="s">
        <v>100</v>
      </c>
      <c r="V4" s="53" t="s">
        <v>100</v>
      </c>
      <c r="W4" s="53" t="s">
        <v>100</v>
      </c>
      <c r="X4" s="53" t="s">
        <v>100</v>
      </c>
      <c r="Y4" s="53" t="s">
        <v>100</v>
      </c>
      <c r="Z4" s="53" t="s">
        <v>100</v>
      </c>
    </row>
    <row r="5" spans="1:26" x14ac:dyDescent="0.25">
      <c r="A5" s="12">
        <v>0.374</v>
      </c>
      <c r="B5" s="42" t="s">
        <v>14</v>
      </c>
      <c r="C5" s="48">
        <v>0.82251999999999992</v>
      </c>
      <c r="D5" s="285">
        <v>0.82</v>
      </c>
      <c r="E5" s="52">
        <f t="shared" ref="E5:E51" si="20">D5+A5*$E$2</f>
        <v>0.82747999999999999</v>
      </c>
      <c r="F5" s="52">
        <f t="shared" ref="F5:F51" si="21">E5+A5*$F$2</f>
        <v>0.83496000000000004</v>
      </c>
      <c r="G5" s="52">
        <f>F5+A5*G2</f>
        <v>0.84244000000000008</v>
      </c>
      <c r="H5" s="52">
        <f t="shared" ref="H5:H51" si="22">G5+A5*$H$2</f>
        <v>0.84618000000000004</v>
      </c>
      <c r="I5" s="52">
        <f t="shared" ref="I5:Z5" si="23">H5+$A$5*I2</f>
        <v>0.54323999999999995</v>
      </c>
      <c r="J5" s="52">
        <f t="shared" si="23"/>
        <v>0.54323999999999995</v>
      </c>
      <c r="K5" s="52">
        <f t="shared" si="23"/>
        <v>0.54323999999999995</v>
      </c>
      <c r="L5" s="52">
        <f t="shared" si="23"/>
        <v>0.54323999999999995</v>
      </c>
      <c r="M5" s="52">
        <f t="shared" si="23"/>
        <v>0.54323999999999995</v>
      </c>
      <c r="N5" s="52">
        <f t="shared" si="23"/>
        <v>0.54323999999999995</v>
      </c>
      <c r="O5" s="52">
        <f t="shared" si="23"/>
        <v>0.54323999999999995</v>
      </c>
      <c r="P5" s="52">
        <f t="shared" si="23"/>
        <v>0.54323999999999995</v>
      </c>
      <c r="Q5" s="52">
        <f t="shared" si="23"/>
        <v>0.54323999999999995</v>
      </c>
      <c r="R5" s="52">
        <f t="shared" si="23"/>
        <v>0.54323999999999995</v>
      </c>
      <c r="S5" s="52">
        <f t="shared" si="23"/>
        <v>0.54323999999999995</v>
      </c>
      <c r="T5" s="52">
        <f t="shared" si="23"/>
        <v>0.54323999999999995</v>
      </c>
      <c r="U5" s="52">
        <f t="shared" si="23"/>
        <v>0.54323999999999995</v>
      </c>
      <c r="V5" s="52">
        <f t="shared" si="23"/>
        <v>0.54323999999999995</v>
      </c>
      <c r="W5" s="52">
        <f t="shared" si="23"/>
        <v>0.54323999999999995</v>
      </c>
      <c r="X5" s="52">
        <f t="shared" si="23"/>
        <v>0.54323999999999995</v>
      </c>
      <c r="Y5" s="52">
        <f t="shared" si="23"/>
        <v>0.54323999999999995</v>
      </c>
      <c r="Z5" s="52">
        <f t="shared" si="23"/>
        <v>0.54323999999999995</v>
      </c>
    </row>
    <row r="6" spans="1:26" x14ac:dyDescent="0.25">
      <c r="A6" s="12">
        <v>0.29499999999999998</v>
      </c>
      <c r="B6" s="42" t="s">
        <v>15</v>
      </c>
      <c r="C6" s="48">
        <v>0.80252000000000001</v>
      </c>
      <c r="D6" s="285">
        <v>0.8</v>
      </c>
      <c r="E6" s="52">
        <f t="shared" si="20"/>
        <v>0.80590000000000006</v>
      </c>
      <c r="F6" s="52">
        <f t="shared" si="21"/>
        <v>0.81180000000000008</v>
      </c>
      <c r="G6" s="52">
        <f t="shared" ref="G6:G51" si="24">F6+A6*$G$2</f>
        <v>0.81770000000000009</v>
      </c>
      <c r="H6" s="52">
        <f t="shared" si="22"/>
        <v>0.8206500000000001</v>
      </c>
      <c r="I6" s="52"/>
      <c r="J6" s="52"/>
      <c r="K6" s="52"/>
      <c r="L6" s="52"/>
      <c r="M6" s="52"/>
      <c r="N6" s="52"/>
      <c r="O6" s="52"/>
      <c r="P6" s="52"/>
      <c r="Q6" s="52"/>
      <c r="R6" s="52"/>
      <c r="S6" s="52"/>
      <c r="T6" s="52"/>
      <c r="U6" s="52"/>
      <c r="V6" s="52"/>
      <c r="W6" s="52"/>
      <c r="X6" s="52"/>
      <c r="Y6" s="52"/>
      <c r="Z6" s="52"/>
    </row>
    <row r="7" spans="1:26" x14ac:dyDescent="0.25">
      <c r="A7" s="12">
        <v>0.24399999999999999</v>
      </c>
      <c r="B7" s="42" t="s">
        <v>16</v>
      </c>
      <c r="C7" s="48">
        <v>0.55252000000000001</v>
      </c>
      <c r="D7" s="61">
        <v>0.55000000000000004</v>
      </c>
      <c r="E7" s="52">
        <f t="shared" si="20"/>
        <v>0.55488000000000004</v>
      </c>
      <c r="F7" s="52">
        <f t="shared" si="21"/>
        <v>0.55976000000000004</v>
      </c>
      <c r="G7" s="52">
        <f t="shared" si="24"/>
        <v>0.56464000000000003</v>
      </c>
      <c r="H7" s="52">
        <f t="shared" si="22"/>
        <v>0.56708000000000003</v>
      </c>
      <c r="I7" s="52"/>
      <c r="J7" s="52"/>
      <c r="K7" s="52"/>
      <c r="L7" s="52"/>
      <c r="M7" s="52"/>
      <c r="N7" s="52"/>
      <c r="O7" s="52"/>
      <c r="P7" s="52"/>
      <c r="Q7" s="52"/>
      <c r="R7" s="52"/>
      <c r="S7" s="52"/>
      <c r="T7" s="52"/>
      <c r="U7" s="52"/>
      <c r="V7" s="52"/>
      <c r="W7" s="52"/>
      <c r="X7" s="52"/>
      <c r="Y7" s="52"/>
      <c r="Z7" s="52"/>
    </row>
    <row r="8" spans="1:26" x14ac:dyDescent="0.25">
      <c r="B8" s="42" t="s">
        <v>17</v>
      </c>
      <c r="C8" s="48">
        <v>0.41252</v>
      </c>
      <c r="D8" s="61">
        <v>0.41</v>
      </c>
      <c r="E8" s="52">
        <f t="shared" si="20"/>
        <v>0.41</v>
      </c>
      <c r="F8" s="52">
        <f t="shared" si="21"/>
        <v>0.41</v>
      </c>
      <c r="G8" s="52">
        <f t="shared" si="24"/>
        <v>0.41</v>
      </c>
      <c r="H8" s="52">
        <f t="shared" si="22"/>
        <v>0.41</v>
      </c>
      <c r="I8" s="52"/>
      <c r="J8" s="52"/>
      <c r="K8" s="52"/>
      <c r="L8" s="52"/>
      <c r="M8" s="52"/>
      <c r="N8" s="52"/>
      <c r="O8" s="52"/>
      <c r="P8" s="52"/>
      <c r="Q8" s="52"/>
      <c r="R8" s="52"/>
      <c r="S8" s="52"/>
      <c r="T8" s="52"/>
      <c r="U8" s="52"/>
      <c r="V8" s="52"/>
      <c r="W8" s="52"/>
      <c r="X8" s="52"/>
      <c r="Y8" s="52"/>
      <c r="Z8" s="52"/>
    </row>
    <row r="9" spans="1:26" x14ac:dyDescent="0.25">
      <c r="A9" s="12">
        <v>0.183</v>
      </c>
      <c r="B9" s="42" t="s">
        <v>18</v>
      </c>
      <c r="C9" s="48">
        <v>0.53752</v>
      </c>
      <c r="D9" s="61">
        <v>0.53500000000000003</v>
      </c>
      <c r="E9" s="52">
        <f t="shared" si="20"/>
        <v>0.53866000000000003</v>
      </c>
      <c r="F9" s="52">
        <f t="shared" si="21"/>
        <v>0.54232000000000002</v>
      </c>
      <c r="G9" s="52">
        <f t="shared" si="24"/>
        <v>0.54598000000000002</v>
      </c>
      <c r="H9" s="52">
        <f t="shared" si="22"/>
        <v>0.54781000000000002</v>
      </c>
      <c r="I9" s="52"/>
      <c r="J9" s="52"/>
      <c r="K9" s="52"/>
      <c r="L9" s="52"/>
      <c r="M9" s="52"/>
      <c r="N9" s="52"/>
      <c r="O9" s="52"/>
      <c r="P9" s="52"/>
      <c r="Q9" s="52"/>
      <c r="R9" s="52"/>
      <c r="S9" s="52"/>
      <c r="T9" s="52"/>
      <c r="U9" s="52"/>
      <c r="V9" s="52"/>
      <c r="W9" s="52"/>
      <c r="X9" s="52"/>
      <c r="Y9" s="52"/>
      <c r="Z9" s="52"/>
    </row>
    <row r="10" spans="1:26" x14ac:dyDescent="0.25">
      <c r="B10" s="42" t="s">
        <v>19</v>
      </c>
      <c r="C10" s="48">
        <v>0.44252000000000002</v>
      </c>
      <c r="D10" s="61">
        <v>0.44</v>
      </c>
      <c r="E10" s="52">
        <f t="shared" si="20"/>
        <v>0.44</v>
      </c>
      <c r="F10" s="52">
        <f t="shared" si="21"/>
        <v>0.44</v>
      </c>
      <c r="G10" s="52">
        <f t="shared" si="24"/>
        <v>0.44</v>
      </c>
      <c r="H10" s="52">
        <f t="shared" si="22"/>
        <v>0.44</v>
      </c>
      <c r="I10" s="52"/>
      <c r="J10" s="52"/>
      <c r="L10" s="52"/>
      <c r="M10" s="52"/>
      <c r="N10" s="52"/>
      <c r="O10" s="52"/>
      <c r="P10" s="52"/>
      <c r="Q10" s="52"/>
      <c r="R10" s="52"/>
      <c r="S10" s="52"/>
      <c r="T10" s="52"/>
      <c r="U10" s="52"/>
      <c r="V10" s="52"/>
      <c r="W10" s="52"/>
      <c r="X10" s="52"/>
      <c r="Y10" s="52"/>
      <c r="Z10" s="52"/>
    </row>
    <row r="11" spans="1:26" x14ac:dyDescent="0.25">
      <c r="A11" s="12">
        <v>0.11899999999999999</v>
      </c>
      <c r="B11" s="42" t="s">
        <v>20</v>
      </c>
      <c r="C11" s="48">
        <v>0.45</v>
      </c>
      <c r="D11" s="61">
        <v>0.34</v>
      </c>
      <c r="E11" s="52">
        <f t="shared" si="20"/>
        <v>0.34238000000000002</v>
      </c>
      <c r="F11" s="52">
        <f t="shared" si="21"/>
        <v>0.34476000000000001</v>
      </c>
      <c r="G11" s="52">
        <f t="shared" si="24"/>
        <v>0.34714</v>
      </c>
      <c r="H11" s="52">
        <f t="shared" si="22"/>
        <v>0.34833000000000003</v>
      </c>
      <c r="I11" s="52"/>
      <c r="J11" s="52"/>
      <c r="K11" s="52"/>
      <c r="L11" s="52"/>
      <c r="M11" s="52"/>
      <c r="N11" s="52"/>
      <c r="O11" s="52"/>
      <c r="P11" s="52"/>
      <c r="Q11" s="52"/>
      <c r="R11" s="52"/>
      <c r="S11" s="52"/>
      <c r="T11" s="52"/>
      <c r="U11" s="52"/>
      <c r="V11" s="52"/>
      <c r="W11" s="52"/>
      <c r="X11" s="52"/>
      <c r="Y11" s="52"/>
      <c r="Z11" s="52"/>
    </row>
    <row r="12" spans="1:26" x14ac:dyDescent="0.25">
      <c r="A12" s="12">
        <v>7.4999999999999997E-2</v>
      </c>
      <c r="B12" s="42" t="s">
        <v>94</v>
      </c>
      <c r="C12" s="48">
        <v>0.28252000000000005</v>
      </c>
      <c r="D12" s="61">
        <v>0.28000000000000003</v>
      </c>
      <c r="E12" s="52">
        <f t="shared" si="20"/>
        <v>0.28150000000000003</v>
      </c>
      <c r="F12" s="52">
        <f t="shared" si="21"/>
        <v>0.28300000000000003</v>
      </c>
      <c r="G12" s="52">
        <f t="shared" si="24"/>
        <v>0.28450000000000003</v>
      </c>
      <c r="H12" s="52">
        <f t="shared" si="22"/>
        <v>0.28525</v>
      </c>
      <c r="I12" s="52"/>
      <c r="J12" s="52"/>
      <c r="K12" s="52"/>
      <c r="L12" s="52"/>
      <c r="M12" s="52"/>
      <c r="N12" s="52"/>
      <c r="O12" s="52"/>
      <c r="P12" s="52"/>
      <c r="Q12" s="52"/>
      <c r="R12" s="52"/>
      <c r="S12" s="52"/>
      <c r="T12" s="52"/>
      <c r="U12" s="52"/>
      <c r="V12" s="52"/>
      <c r="W12" s="52"/>
      <c r="X12" s="52"/>
      <c r="Y12" s="52"/>
      <c r="Z12" s="52"/>
    </row>
    <row r="13" spans="1:26" x14ac:dyDescent="0.25">
      <c r="A13" s="12">
        <v>0.53200000000000003</v>
      </c>
      <c r="B13" s="43" t="s">
        <v>23</v>
      </c>
      <c r="C13" s="48">
        <v>1.13252</v>
      </c>
      <c r="D13" s="61">
        <v>1.1299999999999999</v>
      </c>
      <c r="E13" s="52">
        <f t="shared" si="20"/>
        <v>1.1406399999999999</v>
      </c>
      <c r="F13" s="52">
        <f t="shared" si="21"/>
        <v>1.1512799999999999</v>
      </c>
      <c r="G13" s="52">
        <f t="shared" si="24"/>
        <v>1.1619199999999998</v>
      </c>
      <c r="H13" s="52">
        <f t="shared" si="22"/>
        <v>1.1672399999999998</v>
      </c>
      <c r="I13" s="52"/>
      <c r="J13" s="52"/>
      <c r="K13" s="52"/>
      <c r="L13" s="52"/>
      <c r="M13" s="52"/>
      <c r="N13" s="52"/>
      <c r="O13" s="52"/>
      <c r="P13" s="52"/>
      <c r="Q13" s="52"/>
      <c r="R13" s="52"/>
      <c r="S13" s="52"/>
      <c r="T13" s="52"/>
      <c r="U13" s="52"/>
      <c r="V13" s="52"/>
      <c r="W13" s="52"/>
      <c r="X13" s="52"/>
      <c r="Y13" s="52"/>
      <c r="Z13" s="52"/>
    </row>
    <row r="14" spans="1:26" x14ac:dyDescent="0.25">
      <c r="A14" s="12">
        <v>0.41299999999999998</v>
      </c>
      <c r="B14" s="43" t="s">
        <v>24</v>
      </c>
      <c r="C14" s="48">
        <v>1.1025200000000002</v>
      </c>
      <c r="D14" s="61">
        <v>1.1000000000000001</v>
      </c>
      <c r="E14" s="52">
        <f t="shared" si="20"/>
        <v>1.10826</v>
      </c>
      <c r="F14" s="52">
        <f t="shared" si="21"/>
        <v>1.11652</v>
      </c>
      <c r="G14" s="52">
        <f t="shared" si="24"/>
        <v>1.1247799999999999</v>
      </c>
      <c r="H14" s="52">
        <f t="shared" si="22"/>
        <v>1.1289099999999999</v>
      </c>
      <c r="I14" s="52"/>
      <c r="J14" s="52"/>
      <c r="K14" s="52"/>
      <c r="L14" s="52"/>
      <c r="M14" s="52"/>
      <c r="N14" s="52"/>
      <c r="O14" s="52"/>
      <c r="P14" s="52"/>
      <c r="Q14" s="52"/>
      <c r="R14" s="52"/>
      <c r="S14" s="52"/>
      <c r="T14" s="52"/>
      <c r="U14" s="52"/>
      <c r="V14" s="52"/>
      <c r="W14" s="52"/>
      <c r="X14" s="52"/>
      <c r="Y14" s="52"/>
      <c r="Z14" s="52"/>
    </row>
    <row r="15" spans="1:26" x14ac:dyDescent="0.25">
      <c r="A15" s="12">
        <v>0.33</v>
      </c>
      <c r="B15" s="43" t="s">
        <v>25</v>
      </c>
      <c r="C15" s="48">
        <v>0.72251999999999994</v>
      </c>
      <c r="D15" s="61">
        <v>0.72</v>
      </c>
      <c r="E15" s="52">
        <f t="shared" si="20"/>
        <v>0.72660000000000002</v>
      </c>
      <c r="F15" s="52">
        <f t="shared" si="21"/>
        <v>0.73320000000000007</v>
      </c>
      <c r="G15" s="52">
        <f t="shared" si="24"/>
        <v>0.73980000000000012</v>
      </c>
      <c r="H15" s="52">
        <f t="shared" si="22"/>
        <v>0.74310000000000009</v>
      </c>
      <c r="I15" s="52"/>
      <c r="J15" s="52"/>
      <c r="K15" s="52"/>
      <c r="L15" s="52"/>
      <c r="M15" s="52"/>
      <c r="N15" s="52"/>
      <c r="O15" s="52"/>
      <c r="P15" s="52"/>
      <c r="Q15" s="52"/>
      <c r="R15" s="52"/>
      <c r="S15" s="52"/>
      <c r="T15" s="52"/>
      <c r="U15" s="52"/>
      <c r="V15" s="52"/>
      <c r="W15" s="52"/>
      <c r="X15" s="52"/>
      <c r="Y15" s="52"/>
      <c r="Z15" s="52"/>
    </row>
    <row r="16" spans="1:26" x14ac:dyDescent="0.25">
      <c r="A16" s="12">
        <v>0.247</v>
      </c>
      <c r="B16" s="43" t="s">
        <v>27</v>
      </c>
      <c r="C16" s="48">
        <v>0.56252000000000002</v>
      </c>
      <c r="D16" s="61">
        <v>0.56000000000000005</v>
      </c>
      <c r="E16" s="52">
        <f t="shared" si="20"/>
        <v>0.56494</v>
      </c>
      <c r="F16" s="52">
        <f t="shared" si="21"/>
        <v>0.56987999999999994</v>
      </c>
      <c r="G16" s="52">
        <f t="shared" si="24"/>
        <v>0.57481999999999989</v>
      </c>
      <c r="H16" s="52">
        <f t="shared" si="22"/>
        <v>0.57728999999999986</v>
      </c>
      <c r="I16" s="52"/>
      <c r="J16" s="52"/>
      <c r="K16" s="52"/>
      <c r="L16" s="52"/>
      <c r="M16" s="52"/>
      <c r="N16" s="52"/>
      <c r="O16" s="52"/>
      <c r="P16" s="52"/>
      <c r="Q16" s="52"/>
      <c r="R16" s="52"/>
      <c r="S16" s="52"/>
      <c r="T16" s="52"/>
      <c r="U16" s="52"/>
      <c r="V16" s="52"/>
      <c r="W16" s="52"/>
      <c r="X16" s="52"/>
      <c r="Y16" s="52"/>
      <c r="Z16" s="52"/>
    </row>
    <row r="17" spans="1:26" x14ac:dyDescent="0.25">
      <c r="A17" s="12">
        <v>0.29199999999999998</v>
      </c>
      <c r="B17" s="43" t="s">
        <v>28</v>
      </c>
      <c r="C17" s="48">
        <v>0.65251999999999999</v>
      </c>
      <c r="D17" s="61">
        <v>0.65</v>
      </c>
      <c r="E17" s="52">
        <f t="shared" si="20"/>
        <v>0.65583999999999998</v>
      </c>
      <c r="F17" s="52">
        <f t="shared" si="21"/>
        <v>0.66167999999999993</v>
      </c>
      <c r="G17" s="52">
        <f t="shared" si="24"/>
        <v>0.66751999999999989</v>
      </c>
      <c r="H17" s="52">
        <f t="shared" si="22"/>
        <v>0.67043999999999992</v>
      </c>
      <c r="I17" s="52"/>
      <c r="J17" s="52"/>
      <c r="K17" s="52"/>
      <c r="L17" s="52"/>
      <c r="M17" s="52"/>
      <c r="N17" s="52"/>
      <c r="O17" s="52"/>
      <c r="P17" s="52"/>
      <c r="Q17" s="52"/>
      <c r="R17" s="52"/>
      <c r="S17" s="52"/>
      <c r="T17" s="52"/>
      <c r="U17" s="52"/>
      <c r="V17" s="52"/>
      <c r="W17" s="52"/>
      <c r="X17" s="52"/>
      <c r="Y17" s="52"/>
      <c r="Z17" s="52"/>
    </row>
    <row r="18" spans="1:26" x14ac:dyDescent="0.25">
      <c r="B18" s="43" t="s">
        <v>29</v>
      </c>
      <c r="C18" s="48">
        <v>0.50251999999999997</v>
      </c>
      <c r="D18" s="61">
        <v>0.5</v>
      </c>
      <c r="E18" s="52">
        <f t="shared" si="20"/>
        <v>0.5</v>
      </c>
      <c r="F18" s="52">
        <f t="shared" si="21"/>
        <v>0.5</v>
      </c>
      <c r="G18" s="52">
        <f t="shared" si="24"/>
        <v>0.5</v>
      </c>
      <c r="H18" s="52">
        <f t="shared" si="22"/>
        <v>0.5</v>
      </c>
      <c r="I18" s="52"/>
      <c r="J18" s="52"/>
      <c r="K18" s="52"/>
      <c r="L18" s="52"/>
      <c r="M18" s="52"/>
      <c r="N18" s="52"/>
      <c r="O18" s="52"/>
      <c r="P18" s="52"/>
      <c r="Q18" s="52"/>
      <c r="R18" s="52"/>
      <c r="S18" s="52"/>
      <c r="T18" s="52"/>
      <c r="U18" s="52"/>
      <c r="V18" s="52"/>
      <c r="W18" s="52"/>
      <c r="X18" s="52"/>
      <c r="Y18" s="52"/>
      <c r="Z18" s="52"/>
    </row>
    <row r="19" spans="1:26" x14ac:dyDescent="0.25">
      <c r="A19" s="12">
        <v>0.191</v>
      </c>
      <c r="B19" s="43" t="s">
        <v>30</v>
      </c>
      <c r="C19" s="48">
        <v>0.45252000000000003</v>
      </c>
      <c r="D19" s="61">
        <v>0.45</v>
      </c>
      <c r="E19" s="52">
        <f t="shared" si="20"/>
        <v>0.45382</v>
      </c>
      <c r="F19" s="52">
        <f t="shared" si="21"/>
        <v>0.45763999999999999</v>
      </c>
      <c r="G19" s="52">
        <f t="shared" si="24"/>
        <v>0.46145999999999998</v>
      </c>
      <c r="H19" s="52">
        <f t="shared" si="22"/>
        <v>0.46337</v>
      </c>
      <c r="I19" s="52"/>
      <c r="J19" s="52"/>
      <c r="K19" s="52"/>
      <c r="L19" s="52"/>
      <c r="M19" s="52"/>
      <c r="N19" s="52"/>
      <c r="O19" s="52"/>
      <c r="P19" s="52"/>
      <c r="Q19" s="52"/>
      <c r="R19" s="52"/>
      <c r="S19" s="52"/>
      <c r="T19" s="52"/>
      <c r="U19" s="52"/>
      <c r="V19" s="52"/>
      <c r="W19" s="52"/>
      <c r="X19" s="52"/>
      <c r="Y19" s="52"/>
      <c r="Z19" s="52"/>
    </row>
    <row r="20" spans="1:26" x14ac:dyDescent="0.25">
      <c r="A20" s="12">
        <v>0.11</v>
      </c>
      <c r="B20" s="43" t="s">
        <v>95</v>
      </c>
      <c r="C20" s="48">
        <v>0.37252000000000002</v>
      </c>
      <c r="D20" s="61">
        <v>0.37</v>
      </c>
      <c r="E20" s="52">
        <f t="shared" si="20"/>
        <v>0.37219999999999998</v>
      </c>
      <c r="F20" s="52">
        <f t="shared" si="21"/>
        <v>0.37439999999999996</v>
      </c>
      <c r="G20" s="52">
        <f t="shared" si="24"/>
        <v>0.37659999999999993</v>
      </c>
      <c r="H20" s="52">
        <f t="shared" si="22"/>
        <v>0.37769999999999992</v>
      </c>
      <c r="I20" s="52"/>
      <c r="J20" s="52"/>
      <c r="K20" s="52"/>
      <c r="L20" s="52"/>
      <c r="M20" s="52"/>
      <c r="N20" s="52"/>
      <c r="O20" s="52"/>
      <c r="P20" s="52"/>
      <c r="Q20" s="52"/>
      <c r="R20" s="52"/>
      <c r="S20" s="52"/>
      <c r="T20" s="52"/>
      <c r="U20" s="52"/>
      <c r="V20" s="52"/>
      <c r="W20" s="52"/>
      <c r="X20" s="52"/>
      <c r="Y20" s="52"/>
      <c r="Z20" s="52"/>
    </row>
    <row r="21" spans="1:26" x14ac:dyDescent="0.25">
      <c r="A21" s="12">
        <v>0.68600000000000005</v>
      </c>
      <c r="B21" s="42" t="s">
        <v>39</v>
      </c>
      <c r="C21" s="48">
        <v>1.40252</v>
      </c>
      <c r="D21" s="61">
        <v>1.4</v>
      </c>
      <c r="E21" s="52">
        <f t="shared" si="20"/>
        <v>1.4137199999999999</v>
      </c>
      <c r="F21" s="52">
        <f t="shared" si="21"/>
        <v>1.4274399999999998</v>
      </c>
      <c r="G21" s="52">
        <f t="shared" si="24"/>
        <v>1.4411599999999998</v>
      </c>
      <c r="H21" s="52">
        <f t="shared" si="22"/>
        <v>1.4480199999999999</v>
      </c>
      <c r="I21" s="52"/>
      <c r="J21" s="52"/>
      <c r="K21" s="52"/>
      <c r="L21" s="52"/>
      <c r="M21" s="52"/>
      <c r="N21" s="52"/>
      <c r="O21" s="52"/>
      <c r="P21" s="52"/>
      <c r="Q21" s="52"/>
      <c r="R21" s="52"/>
      <c r="S21" s="52"/>
      <c r="T21" s="52"/>
      <c r="U21" s="52"/>
      <c r="V21" s="52"/>
      <c r="W21" s="52"/>
      <c r="X21" s="52"/>
      <c r="Y21" s="52"/>
      <c r="Z21" s="52"/>
    </row>
    <row r="22" spans="1:26" x14ac:dyDescent="0.25">
      <c r="A22" s="12">
        <v>0.53100000000000003</v>
      </c>
      <c r="B22" s="42" t="s">
        <v>40</v>
      </c>
      <c r="C22" s="48">
        <v>1.46252</v>
      </c>
      <c r="D22" s="61">
        <v>1.46</v>
      </c>
      <c r="E22" s="52">
        <f t="shared" si="20"/>
        <v>1.47062</v>
      </c>
      <c r="F22" s="52">
        <f t="shared" si="21"/>
        <v>1.4812400000000001</v>
      </c>
      <c r="G22" s="52">
        <f t="shared" si="24"/>
        <v>1.4918600000000002</v>
      </c>
      <c r="H22" s="52">
        <f t="shared" si="22"/>
        <v>1.4971700000000001</v>
      </c>
      <c r="I22" s="52"/>
      <c r="J22" s="52"/>
      <c r="K22" s="52"/>
      <c r="L22" s="52"/>
      <c r="M22" s="52"/>
      <c r="N22" s="52"/>
      <c r="O22" s="52"/>
      <c r="P22" s="52"/>
      <c r="Q22" s="52"/>
      <c r="R22" s="52"/>
      <c r="S22" s="52"/>
      <c r="T22" s="52"/>
      <c r="U22" s="52"/>
      <c r="V22" s="52"/>
      <c r="W22" s="52"/>
      <c r="X22" s="52"/>
      <c r="Y22" s="52"/>
      <c r="Z22" s="52"/>
    </row>
    <row r="23" spans="1:26" x14ac:dyDescent="0.25">
      <c r="A23" s="12">
        <v>0.41699999999999998</v>
      </c>
      <c r="B23" s="42" t="s">
        <v>41</v>
      </c>
      <c r="C23" s="48">
        <v>0.93252000000000002</v>
      </c>
      <c r="D23" s="61">
        <v>0.93</v>
      </c>
      <c r="E23" s="52">
        <f t="shared" si="20"/>
        <v>0.93834000000000006</v>
      </c>
      <c r="F23" s="52">
        <f t="shared" si="21"/>
        <v>0.94668000000000008</v>
      </c>
      <c r="G23" s="52">
        <f t="shared" si="24"/>
        <v>0.95502000000000009</v>
      </c>
      <c r="H23" s="52">
        <f t="shared" si="22"/>
        <v>0.9591900000000001</v>
      </c>
      <c r="I23" s="52"/>
      <c r="J23" s="52"/>
      <c r="K23" s="52"/>
      <c r="L23" s="52"/>
      <c r="M23" s="52"/>
      <c r="N23" s="52"/>
      <c r="O23" s="52"/>
      <c r="P23" s="52"/>
      <c r="Q23" s="52"/>
      <c r="R23" s="52"/>
      <c r="S23" s="52"/>
      <c r="T23" s="52"/>
      <c r="U23" s="52"/>
      <c r="V23" s="52"/>
      <c r="W23" s="52"/>
      <c r="X23" s="52"/>
      <c r="Y23" s="52"/>
      <c r="Z23" s="52"/>
    </row>
    <row r="24" spans="1:26" x14ac:dyDescent="0.25">
      <c r="A24" s="12">
        <v>0.308</v>
      </c>
      <c r="B24" s="42" t="s">
        <v>43</v>
      </c>
      <c r="C24" s="48">
        <v>0.75251999999999997</v>
      </c>
      <c r="D24" s="61">
        <v>0.75</v>
      </c>
      <c r="E24" s="52">
        <f t="shared" si="20"/>
        <v>0.75616000000000005</v>
      </c>
      <c r="F24" s="52">
        <f t="shared" si="21"/>
        <v>0.76232000000000011</v>
      </c>
      <c r="G24" s="52">
        <f t="shared" si="24"/>
        <v>0.76848000000000016</v>
      </c>
      <c r="H24" s="52">
        <f t="shared" si="22"/>
        <v>0.77156000000000013</v>
      </c>
      <c r="I24" s="52"/>
      <c r="J24" s="52"/>
      <c r="K24" s="52"/>
      <c r="L24" s="52"/>
      <c r="M24" s="52"/>
      <c r="N24" s="52"/>
      <c r="O24" s="52"/>
      <c r="P24" s="52"/>
      <c r="Q24" s="52"/>
      <c r="R24" s="52"/>
      <c r="S24" s="52"/>
      <c r="T24" s="52"/>
      <c r="U24" s="52"/>
      <c r="V24" s="52"/>
      <c r="W24" s="52"/>
      <c r="X24" s="52"/>
      <c r="Y24" s="52"/>
      <c r="Z24" s="52"/>
    </row>
    <row r="25" spans="1:26" x14ac:dyDescent="0.25">
      <c r="A25" s="12">
        <v>0.36799999999999999</v>
      </c>
      <c r="B25" s="42" t="s">
        <v>44</v>
      </c>
      <c r="C25" s="48">
        <v>0.84251999999999994</v>
      </c>
      <c r="D25" s="61">
        <v>0.84</v>
      </c>
      <c r="E25" s="52">
        <f t="shared" si="20"/>
        <v>0.84736</v>
      </c>
      <c r="F25" s="52">
        <f t="shared" si="21"/>
        <v>0.85472000000000004</v>
      </c>
      <c r="G25" s="52">
        <f t="shared" si="24"/>
        <v>0.86208000000000007</v>
      </c>
      <c r="H25" s="52">
        <f t="shared" si="22"/>
        <v>0.86576000000000009</v>
      </c>
      <c r="I25" s="52"/>
      <c r="J25" s="52"/>
      <c r="K25" s="52"/>
      <c r="L25" s="52"/>
      <c r="M25" s="52"/>
      <c r="N25" s="52"/>
      <c r="O25" s="52"/>
      <c r="P25" s="52"/>
      <c r="Q25" s="52"/>
      <c r="R25" s="52"/>
      <c r="S25" s="52"/>
      <c r="T25" s="52"/>
      <c r="U25" s="52"/>
      <c r="V25" s="52"/>
      <c r="W25" s="52"/>
      <c r="X25" s="52"/>
      <c r="Y25" s="52"/>
      <c r="Z25" s="52"/>
    </row>
    <row r="26" spans="1:26" x14ac:dyDescent="0.25">
      <c r="B26" s="42" t="s">
        <v>46</v>
      </c>
      <c r="C26" s="48">
        <v>0.74251999999999996</v>
      </c>
      <c r="D26" s="61">
        <v>0.74</v>
      </c>
      <c r="E26" s="52">
        <f t="shared" si="20"/>
        <v>0.74</v>
      </c>
      <c r="F26" s="52">
        <f t="shared" si="21"/>
        <v>0.74</v>
      </c>
      <c r="G26" s="52">
        <f t="shared" si="24"/>
        <v>0.74</v>
      </c>
      <c r="H26" s="52">
        <f t="shared" si="22"/>
        <v>0.74</v>
      </c>
      <c r="I26" s="52"/>
      <c r="J26" s="52"/>
      <c r="K26" s="52"/>
      <c r="L26" s="52"/>
      <c r="M26" s="52"/>
      <c r="N26" s="52"/>
      <c r="O26" s="52"/>
      <c r="P26" s="52"/>
      <c r="Q26" s="52"/>
      <c r="R26" s="52"/>
      <c r="S26" s="52"/>
      <c r="T26" s="52"/>
      <c r="U26" s="52"/>
      <c r="V26" s="52"/>
      <c r="W26" s="52"/>
      <c r="X26" s="52"/>
      <c r="Y26" s="52"/>
      <c r="Z26" s="52"/>
    </row>
    <row r="27" spans="1:26" x14ac:dyDescent="0.25">
      <c r="A27" s="12">
        <v>0.23599999999999999</v>
      </c>
      <c r="B27" s="42" t="s">
        <v>47</v>
      </c>
      <c r="C27" s="48">
        <v>0.65</v>
      </c>
      <c r="D27" s="61">
        <v>0.55000000000000004</v>
      </c>
      <c r="E27" s="52">
        <f t="shared" si="20"/>
        <v>0.55471999999999999</v>
      </c>
      <c r="F27" s="52">
        <f t="shared" si="21"/>
        <v>0.55943999999999994</v>
      </c>
      <c r="G27" s="52">
        <f t="shared" si="24"/>
        <v>0.56415999999999988</v>
      </c>
      <c r="H27" s="52">
        <f t="shared" si="22"/>
        <v>0.56651999999999991</v>
      </c>
      <c r="I27" s="52">
        <v>0</v>
      </c>
      <c r="J27" s="48">
        <v>0.55252000000000001</v>
      </c>
      <c r="K27" s="52"/>
      <c r="L27" s="52"/>
      <c r="M27" s="52"/>
      <c r="N27" s="52"/>
      <c r="O27" s="52"/>
      <c r="P27" s="52"/>
      <c r="Q27" s="52"/>
      <c r="R27" s="52"/>
      <c r="S27" s="52"/>
      <c r="T27" s="52"/>
      <c r="U27" s="52"/>
      <c r="V27" s="52"/>
      <c r="W27" s="52"/>
      <c r="X27" s="52"/>
      <c r="Y27" s="52"/>
      <c r="Z27" s="52"/>
    </row>
    <row r="28" spans="1:26" x14ac:dyDescent="0.25">
      <c r="A28" s="12">
        <v>0.13600000000000001</v>
      </c>
      <c r="B28" s="42" t="s">
        <v>96</v>
      </c>
      <c r="C28" s="48">
        <v>0.45252000000000003</v>
      </c>
      <c r="D28" s="61">
        <v>0.45</v>
      </c>
      <c r="E28" s="52">
        <f t="shared" si="20"/>
        <v>0.45272000000000001</v>
      </c>
      <c r="F28" s="52">
        <f t="shared" si="21"/>
        <v>0.45544000000000001</v>
      </c>
      <c r="G28" s="52">
        <f t="shared" si="24"/>
        <v>0.45816000000000001</v>
      </c>
      <c r="H28" s="52">
        <f t="shared" si="22"/>
        <v>0.45952000000000004</v>
      </c>
      <c r="I28" s="52"/>
      <c r="J28" s="52"/>
      <c r="K28" s="52"/>
      <c r="L28" s="52"/>
      <c r="M28" s="52"/>
      <c r="N28" s="52"/>
      <c r="O28" s="52"/>
      <c r="P28" s="52"/>
      <c r="Q28" s="52"/>
      <c r="R28" s="52"/>
      <c r="S28" s="52"/>
      <c r="T28" s="52"/>
      <c r="U28" s="52"/>
      <c r="V28" s="52"/>
      <c r="W28" s="52"/>
      <c r="X28" s="52"/>
      <c r="Y28" s="52"/>
      <c r="Z28" s="52"/>
    </row>
    <row r="29" spans="1:26" x14ac:dyDescent="0.25">
      <c r="B29" s="44" t="s">
        <v>93</v>
      </c>
      <c r="C29" s="48">
        <v>2.15252</v>
      </c>
      <c r="D29" s="61">
        <v>2.15</v>
      </c>
      <c r="E29" s="52">
        <f t="shared" si="20"/>
        <v>2.15</v>
      </c>
      <c r="F29" s="52">
        <f t="shared" si="21"/>
        <v>2.15</v>
      </c>
      <c r="G29" s="52">
        <f t="shared" si="24"/>
        <v>2.15</v>
      </c>
      <c r="H29" s="52">
        <f t="shared" si="22"/>
        <v>2.15</v>
      </c>
      <c r="I29" s="52"/>
      <c r="J29" s="52"/>
      <c r="K29" s="52"/>
      <c r="L29" s="52"/>
      <c r="M29" s="52"/>
      <c r="N29" s="52"/>
      <c r="O29" s="52"/>
      <c r="P29" s="52"/>
      <c r="Q29" s="52"/>
      <c r="R29" s="52"/>
      <c r="S29" s="52"/>
      <c r="T29" s="52"/>
      <c r="U29" s="52"/>
      <c r="V29" s="52"/>
      <c r="W29" s="52"/>
      <c r="X29" s="52"/>
      <c r="Y29" s="52"/>
      <c r="Z29" s="52"/>
    </row>
    <row r="30" spans="1:26" x14ac:dyDescent="0.25">
      <c r="A30" s="12">
        <v>0.86899999999999999</v>
      </c>
      <c r="B30" s="44" t="s">
        <v>55</v>
      </c>
      <c r="C30" s="48">
        <v>2.40252</v>
      </c>
      <c r="D30" s="61">
        <v>2.4</v>
      </c>
      <c r="E30" s="52">
        <f t="shared" si="20"/>
        <v>2.4173800000000001</v>
      </c>
      <c r="F30" s="52">
        <f t="shared" si="21"/>
        <v>2.4347600000000003</v>
      </c>
      <c r="G30" s="52">
        <f t="shared" si="24"/>
        <v>2.4521400000000004</v>
      </c>
      <c r="H30" s="52">
        <f t="shared" si="22"/>
        <v>2.4608300000000005</v>
      </c>
      <c r="I30" s="52"/>
      <c r="J30" s="52"/>
      <c r="K30" s="52"/>
      <c r="L30" s="52"/>
      <c r="M30" s="52"/>
      <c r="N30" s="52"/>
      <c r="O30" s="52"/>
      <c r="P30" s="52"/>
      <c r="Q30" s="52"/>
      <c r="R30" s="52"/>
      <c r="S30" s="52"/>
      <c r="T30" s="52"/>
      <c r="U30" s="52"/>
      <c r="V30" s="52"/>
      <c r="W30" s="52"/>
      <c r="X30" s="52"/>
      <c r="Y30" s="52"/>
      <c r="Z30" s="52"/>
    </row>
    <row r="31" spans="1:26" x14ac:dyDescent="0.25">
      <c r="A31" s="12">
        <v>0.65600000000000003</v>
      </c>
      <c r="B31" s="44" t="s">
        <v>56</v>
      </c>
      <c r="C31" s="48">
        <v>1.41252</v>
      </c>
      <c r="D31" s="61">
        <v>1.41</v>
      </c>
      <c r="E31" s="52">
        <f t="shared" si="20"/>
        <v>1.4231199999999999</v>
      </c>
      <c r="F31" s="52">
        <f t="shared" si="21"/>
        <v>1.43624</v>
      </c>
      <c r="G31" s="52">
        <f t="shared" si="24"/>
        <v>1.44936</v>
      </c>
      <c r="H31" s="52">
        <f t="shared" si="22"/>
        <v>1.4559199999999999</v>
      </c>
      <c r="I31" s="52"/>
      <c r="J31" s="52"/>
      <c r="K31" s="52"/>
      <c r="L31" s="52"/>
      <c r="M31" s="52"/>
      <c r="N31" s="52"/>
      <c r="O31" s="52"/>
      <c r="P31" s="52"/>
      <c r="Q31" s="52"/>
      <c r="R31" s="52"/>
      <c r="S31" s="52"/>
      <c r="T31" s="52"/>
      <c r="U31" s="52"/>
      <c r="V31" s="52"/>
      <c r="W31" s="52"/>
      <c r="X31" s="52"/>
      <c r="Y31" s="52"/>
      <c r="Z31" s="52"/>
    </row>
    <row r="32" spans="1:26" x14ac:dyDescent="0.25">
      <c r="A32" s="12">
        <v>0.47099999999999997</v>
      </c>
      <c r="B32" s="44" t="s">
        <v>58</v>
      </c>
      <c r="C32" s="48">
        <v>1.0725200000000001</v>
      </c>
      <c r="D32" s="61">
        <v>1.07</v>
      </c>
      <c r="E32" s="52">
        <f t="shared" si="20"/>
        <v>1.07942</v>
      </c>
      <c r="F32" s="52">
        <f t="shared" si="21"/>
        <v>1.08884</v>
      </c>
      <c r="G32" s="52">
        <f t="shared" si="24"/>
        <v>1.09826</v>
      </c>
      <c r="H32" s="52">
        <f t="shared" si="22"/>
        <v>1.10297</v>
      </c>
      <c r="I32" s="52"/>
      <c r="J32" s="52"/>
      <c r="K32" s="52"/>
      <c r="L32" s="52"/>
      <c r="M32" s="52"/>
      <c r="N32" s="52"/>
      <c r="O32" s="52"/>
      <c r="P32" s="52"/>
      <c r="Q32" s="52"/>
      <c r="R32" s="52"/>
      <c r="S32" s="52"/>
      <c r="T32" s="52"/>
      <c r="U32" s="52"/>
      <c r="V32" s="52"/>
      <c r="W32" s="52"/>
      <c r="X32" s="52"/>
      <c r="Y32" s="52"/>
      <c r="Z32" s="52"/>
    </row>
    <row r="33" spans="1:26" x14ac:dyDescent="0.25">
      <c r="A33" s="12">
        <v>0.57899999999999996</v>
      </c>
      <c r="B33" s="44" t="s">
        <v>59</v>
      </c>
      <c r="C33" s="48">
        <v>1.39252</v>
      </c>
      <c r="D33" s="61">
        <v>1.39</v>
      </c>
      <c r="E33" s="52">
        <f t="shared" si="20"/>
        <v>1.4015799999999998</v>
      </c>
      <c r="F33" s="52">
        <f t="shared" si="21"/>
        <v>1.4131599999999997</v>
      </c>
      <c r="G33" s="52">
        <f t="shared" si="24"/>
        <v>1.4247399999999997</v>
      </c>
      <c r="H33" s="52">
        <f t="shared" si="22"/>
        <v>1.4305299999999996</v>
      </c>
      <c r="I33" s="52"/>
      <c r="J33" s="52"/>
      <c r="K33" s="52"/>
      <c r="L33" s="52"/>
      <c r="M33" s="52"/>
      <c r="N33" s="52"/>
      <c r="O33" s="52"/>
      <c r="P33" s="52"/>
      <c r="Q33" s="52"/>
      <c r="R33" s="52"/>
      <c r="S33" s="52"/>
      <c r="T33" s="52"/>
      <c r="U33" s="52"/>
      <c r="V33" s="52"/>
      <c r="W33" s="52"/>
      <c r="X33" s="52"/>
      <c r="Y33" s="52"/>
      <c r="Z33" s="52"/>
    </row>
    <row r="34" spans="1:26" x14ac:dyDescent="0.25">
      <c r="B34" s="44" t="s">
        <v>61</v>
      </c>
      <c r="C34" s="48">
        <v>1.0425200000000001</v>
      </c>
      <c r="D34" s="61">
        <v>1.04</v>
      </c>
      <c r="E34" s="52">
        <f t="shared" si="20"/>
        <v>1.04</v>
      </c>
      <c r="F34" s="52">
        <f t="shared" si="21"/>
        <v>1.04</v>
      </c>
      <c r="G34" s="52">
        <f t="shared" si="24"/>
        <v>1.04</v>
      </c>
      <c r="H34" s="52">
        <f t="shared" si="22"/>
        <v>1.04</v>
      </c>
      <c r="I34" s="52"/>
      <c r="J34" s="52"/>
      <c r="K34" s="52"/>
      <c r="L34" s="52"/>
      <c r="M34" s="52"/>
      <c r="N34" s="52"/>
      <c r="O34" s="52"/>
      <c r="P34" s="52"/>
      <c r="Q34" s="52"/>
      <c r="R34" s="52"/>
      <c r="S34" s="52"/>
      <c r="T34" s="52"/>
      <c r="U34" s="52"/>
      <c r="V34" s="52"/>
      <c r="W34" s="52"/>
      <c r="X34" s="52"/>
      <c r="Y34" s="52"/>
      <c r="Z34" s="52"/>
    </row>
    <row r="35" spans="1:26" x14ac:dyDescent="0.25">
      <c r="A35" s="12">
        <v>0.36</v>
      </c>
      <c r="B35" s="44" t="s">
        <v>62</v>
      </c>
      <c r="C35" s="48">
        <v>1.2</v>
      </c>
      <c r="D35" s="61">
        <v>0.78</v>
      </c>
      <c r="E35" s="52">
        <f t="shared" si="20"/>
        <v>0.78720000000000001</v>
      </c>
      <c r="F35" s="52">
        <f t="shared" si="21"/>
        <v>0.7944</v>
      </c>
      <c r="G35" s="52">
        <f t="shared" si="24"/>
        <v>0.80159999999999998</v>
      </c>
      <c r="H35" s="52">
        <f t="shared" si="22"/>
        <v>0.80520000000000003</v>
      </c>
      <c r="I35" s="52"/>
      <c r="J35" s="48">
        <v>0.78251999999999999</v>
      </c>
      <c r="K35" s="52"/>
      <c r="L35" s="52"/>
      <c r="M35" s="52"/>
      <c r="N35" s="52"/>
      <c r="O35" s="52"/>
      <c r="P35" s="52"/>
      <c r="Q35" s="52"/>
      <c r="R35" s="52"/>
      <c r="S35" s="52"/>
      <c r="T35" s="52"/>
      <c r="U35" s="52"/>
      <c r="V35" s="52"/>
      <c r="W35" s="52"/>
      <c r="X35" s="52"/>
      <c r="Y35" s="52"/>
      <c r="Z35" s="52"/>
    </row>
    <row r="36" spans="1:26" x14ac:dyDescent="0.25">
      <c r="A36" s="12">
        <v>0.20699999999999999</v>
      </c>
      <c r="B36" s="44" t="s">
        <v>97</v>
      </c>
      <c r="C36" s="48">
        <v>0.62251999999999996</v>
      </c>
      <c r="D36" s="61">
        <v>0.62</v>
      </c>
      <c r="E36" s="52">
        <f t="shared" si="20"/>
        <v>0.62414000000000003</v>
      </c>
      <c r="F36" s="52">
        <f t="shared" si="21"/>
        <v>0.62828000000000006</v>
      </c>
      <c r="G36" s="52">
        <f t="shared" si="24"/>
        <v>0.63242000000000009</v>
      </c>
      <c r="H36" s="52">
        <f t="shared" si="22"/>
        <v>0.63449000000000011</v>
      </c>
      <c r="I36" s="52"/>
      <c r="J36" s="52"/>
      <c r="K36" s="52"/>
      <c r="L36" s="52"/>
      <c r="M36" s="52"/>
      <c r="N36" s="52"/>
      <c r="O36" s="52"/>
      <c r="P36" s="52"/>
      <c r="Q36" s="52"/>
      <c r="R36" s="52"/>
      <c r="S36" s="52"/>
      <c r="T36" s="52"/>
      <c r="U36" s="52"/>
      <c r="V36" s="52"/>
      <c r="W36" s="52"/>
      <c r="X36" s="52"/>
      <c r="Y36" s="52"/>
      <c r="Z36" s="52"/>
    </row>
    <row r="37" spans="1:26" x14ac:dyDescent="0.25">
      <c r="A37" s="12">
        <v>0.16700000000000001</v>
      </c>
      <c r="B37" s="41" t="s">
        <v>102</v>
      </c>
      <c r="C37" s="48">
        <v>0.2</v>
      </c>
      <c r="E37" s="52">
        <f t="shared" si="20"/>
        <v>3.3400000000000001E-3</v>
      </c>
      <c r="F37" s="52">
        <f t="shared" si="21"/>
        <v>6.6800000000000002E-3</v>
      </c>
      <c r="G37" s="52">
        <f t="shared" si="24"/>
        <v>1.0020000000000001E-2</v>
      </c>
      <c r="H37" s="52">
        <f t="shared" si="22"/>
        <v>1.1690000000000001E-2</v>
      </c>
    </row>
    <row r="38" spans="1:26" x14ac:dyDescent="0.25">
      <c r="A38" s="12">
        <v>0.19900000000000001</v>
      </c>
      <c r="B38" s="41" t="s">
        <v>103</v>
      </c>
      <c r="C38" s="48">
        <v>0.22</v>
      </c>
      <c r="E38" s="52">
        <f t="shared" si="20"/>
        <v>3.98E-3</v>
      </c>
      <c r="F38" s="52">
        <f t="shared" si="21"/>
        <v>7.9600000000000001E-3</v>
      </c>
      <c r="G38" s="52">
        <f t="shared" si="24"/>
        <v>1.1939999999999999E-2</v>
      </c>
      <c r="H38" s="52">
        <f t="shared" si="22"/>
        <v>1.393E-2</v>
      </c>
    </row>
    <row r="39" spans="1:26" x14ac:dyDescent="0.25">
      <c r="A39" s="12">
        <v>0.23400000000000001</v>
      </c>
      <c r="B39" s="41" t="s">
        <v>104</v>
      </c>
      <c r="C39" s="48">
        <v>0.255</v>
      </c>
      <c r="E39" s="52">
        <f t="shared" si="20"/>
        <v>4.6800000000000001E-3</v>
      </c>
      <c r="F39" s="52">
        <f t="shared" si="21"/>
        <v>9.3600000000000003E-3</v>
      </c>
      <c r="G39" s="52">
        <f t="shared" si="24"/>
        <v>1.404E-2</v>
      </c>
      <c r="H39" s="52">
        <f t="shared" si="22"/>
        <v>1.6379999999999999E-2</v>
      </c>
    </row>
    <row r="40" spans="1:26" x14ac:dyDescent="0.25">
      <c r="A40" s="12">
        <v>0.26300000000000001</v>
      </c>
      <c r="B40" s="41" t="s">
        <v>105</v>
      </c>
      <c r="C40" s="48">
        <v>0.28399999999999997</v>
      </c>
      <c r="E40" s="52">
        <f t="shared" si="20"/>
        <v>5.2599999999999999E-3</v>
      </c>
      <c r="F40" s="52">
        <f t="shared" si="21"/>
        <v>1.052E-2</v>
      </c>
      <c r="G40" s="52">
        <f t="shared" si="24"/>
        <v>1.5779999999999999E-2</v>
      </c>
      <c r="H40" s="52">
        <f t="shared" si="22"/>
        <v>1.8409999999999999E-2</v>
      </c>
    </row>
    <row r="41" spans="1:26" x14ac:dyDescent="0.25">
      <c r="A41" s="12">
        <v>0.312</v>
      </c>
      <c r="B41" s="41" t="s">
        <v>106</v>
      </c>
      <c r="C41" s="48">
        <v>0.35</v>
      </c>
      <c r="E41" s="52">
        <f t="shared" si="20"/>
        <v>6.2399999999999999E-3</v>
      </c>
      <c r="F41" s="52">
        <f t="shared" si="21"/>
        <v>1.248E-2</v>
      </c>
      <c r="G41" s="52">
        <f t="shared" si="24"/>
        <v>1.8720000000000001E-2</v>
      </c>
      <c r="H41" s="52">
        <f t="shared" si="22"/>
        <v>2.1840000000000002E-2</v>
      </c>
      <c r="J41" s="48">
        <v>0.33100000000000002</v>
      </c>
    </row>
    <row r="42" spans="1:26" x14ac:dyDescent="0.25">
      <c r="A42" s="12">
        <v>0.37</v>
      </c>
      <c r="B42" s="41" t="s">
        <v>107</v>
      </c>
      <c r="C42" s="48">
        <v>0.39</v>
      </c>
      <c r="E42" s="52">
        <f t="shared" si="20"/>
        <v>7.4000000000000003E-3</v>
      </c>
      <c r="F42" s="52">
        <f t="shared" si="21"/>
        <v>1.4800000000000001E-2</v>
      </c>
      <c r="G42" s="52">
        <f t="shared" si="24"/>
        <v>2.2200000000000001E-2</v>
      </c>
      <c r="H42" s="52">
        <f t="shared" si="22"/>
        <v>2.5899999999999999E-2</v>
      </c>
    </row>
    <row r="43" spans="1:26" x14ac:dyDescent="0.25">
      <c r="A43" s="12">
        <v>0.34200000000000003</v>
      </c>
      <c r="B43" s="41" t="s">
        <v>108</v>
      </c>
      <c r="C43" s="48">
        <v>0.37</v>
      </c>
      <c r="E43" s="52">
        <f t="shared" si="20"/>
        <v>6.8400000000000006E-3</v>
      </c>
      <c r="F43" s="52">
        <f t="shared" si="21"/>
        <v>1.3680000000000001E-2</v>
      </c>
      <c r="G43" s="52">
        <f t="shared" si="24"/>
        <v>2.0520000000000004E-2</v>
      </c>
      <c r="H43" s="52">
        <f t="shared" si="22"/>
        <v>2.3940000000000003E-2</v>
      </c>
    </row>
    <row r="44" spans="1:26" x14ac:dyDescent="0.25">
      <c r="A44" s="12">
        <v>0.40799999999999997</v>
      </c>
      <c r="B44" s="41" t="s">
        <v>109</v>
      </c>
      <c r="C44" s="48">
        <v>0.435</v>
      </c>
      <c r="E44" s="52">
        <f t="shared" si="20"/>
        <v>8.1599999999999989E-3</v>
      </c>
      <c r="F44" s="52">
        <f t="shared" si="21"/>
        <v>1.6319999999999998E-2</v>
      </c>
      <c r="G44" s="52">
        <f t="shared" si="24"/>
        <v>2.4479999999999995E-2</v>
      </c>
      <c r="H44" s="52">
        <f t="shared" si="22"/>
        <v>2.8559999999999995E-2</v>
      </c>
    </row>
    <row r="45" spans="1:26" x14ac:dyDescent="0.25">
      <c r="A45" s="12">
        <v>0.48499999999999999</v>
      </c>
      <c r="B45" s="41" t="s">
        <v>110</v>
      </c>
      <c r="C45" s="48">
        <v>0.49</v>
      </c>
      <c r="E45" s="52">
        <f t="shared" si="20"/>
        <v>9.7000000000000003E-3</v>
      </c>
      <c r="F45" s="52">
        <f t="shared" si="21"/>
        <v>1.9400000000000001E-2</v>
      </c>
      <c r="G45" s="52">
        <f t="shared" si="24"/>
        <v>2.9100000000000001E-2</v>
      </c>
      <c r="H45" s="52">
        <f t="shared" si="22"/>
        <v>3.3950000000000001E-2</v>
      </c>
    </row>
    <row r="46" spans="1:26" x14ac:dyDescent="0.25">
      <c r="A46" s="12">
        <v>0.52800000000000002</v>
      </c>
      <c r="B46" s="41" t="s">
        <v>111</v>
      </c>
      <c r="C46" s="48">
        <v>0.59</v>
      </c>
      <c r="E46" s="52">
        <f t="shared" si="20"/>
        <v>1.056E-2</v>
      </c>
      <c r="F46" s="52">
        <f t="shared" si="21"/>
        <v>2.112E-2</v>
      </c>
      <c r="G46" s="52">
        <f t="shared" si="24"/>
        <v>3.168E-2</v>
      </c>
      <c r="H46" s="52">
        <f t="shared" si="22"/>
        <v>3.696E-2</v>
      </c>
    </row>
    <row r="47" spans="1:26" x14ac:dyDescent="0.25">
      <c r="A47" s="12">
        <v>0.63600000000000001</v>
      </c>
      <c r="B47" s="41" t="s">
        <v>112</v>
      </c>
      <c r="C47" s="48">
        <v>0.7</v>
      </c>
      <c r="E47" s="52">
        <f t="shared" si="20"/>
        <v>1.272E-2</v>
      </c>
      <c r="F47" s="52">
        <f t="shared" si="21"/>
        <v>2.5440000000000001E-2</v>
      </c>
      <c r="G47" s="52">
        <f t="shared" si="24"/>
        <v>3.8159999999999999E-2</v>
      </c>
      <c r="H47" s="52">
        <f t="shared" si="22"/>
        <v>4.4519999999999997E-2</v>
      </c>
    </row>
    <row r="48" spans="1:26" x14ac:dyDescent="0.25">
      <c r="A48" s="12">
        <v>0.75900000000000001</v>
      </c>
      <c r="B48" s="41" t="s">
        <v>113</v>
      </c>
      <c r="C48" s="48">
        <v>0.79</v>
      </c>
      <c r="E48" s="52">
        <f t="shared" si="20"/>
        <v>1.5180000000000001E-2</v>
      </c>
      <c r="F48" s="52">
        <f t="shared" si="21"/>
        <v>3.0360000000000002E-2</v>
      </c>
      <c r="G48" s="52">
        <f t="shared" si="24"/>
        <v>4.5540000000000004E-2</v>
      </c>
      <c r="H48" s="52">
        <f t="shared" si="22"/>
        <v>5.3130000000000004E-2</v>
      </c>
    </row>
    <row r="49" spans="1:8" x14ac:dyDescent="0.25">
      <c r="A49" s="12">
        <v>1.1459999999999999</v>
      </c>
      <c r="B49" s="41" t="s">
        <v>114</v>
      </c>
      <c r="C49" s="48">
        <v>1.32</v>
      </c>
      <c r="E49" s="52">
        <f t="shared" si="20"/>
        <v>2.2919999999999999E-2</v>
      </c>
      <c r="F49" s="52">
        <f t="shared" si="21"/>
        <v>4.5839999999999999E-2</v>
      </c>
      <c r="G49" s="52">
        <f t="shared" si="24"/>
        <v>6.8760000000000002E-2</v>
      </c>
      <c r="H49" s="52">
        <f t="shared" si="22"/>
        <v>8.022E-2</v>
      </c>
    </row>
    <row r="50" spans="1:8" x14ac:dyDescent="0.25">
      <c r="A50" s="12">
        <v>1.38</v>
      </c>
      <c r="B50" s="41" t="s">
        <v>115</v>
      </c>
      <c r="C50" s="48">
        <v>1.6</v>
      </c>
      <c r="E50" s="52">
        <f t="shared" si="20"/>
        <v>2.76E-2</v>
      </c>
      <c r="F50" s="52">
        <f t="shared" si="21"/>
        <v>5.5199999999999999E-2</v>
      </c>
      <c r="G50" s="52">
        <f t="shared" si="24"/>
        <v>8.2799999999999999E-2</v>
      </c>
      <c r="H50" s="52">
        <f t="shared" si="22"/>
        <v>9.6599999999999991E-2</v>
      </c>
    </row>
    <row r="51" spans="1:8" x14ac:dyDescent="0.25">
      <c r="A51" s="12">
        <v>1.6479999999999999</v>
      </c>
      <c r="B51" s="41" t="s">
        <v>116</v>
      </c>
      <c r="C51" s="48">
        <v>1.65</v>
      </c>
      <c r="E51" s="52">
        <f t="shared" si="20"/>
        <v>3.2959999999999996E-2</v>
      </c>
      <c r="F51" s="52">
        <f t="shared" si="21"/>
        <v>6.5919999999999992E-2</v>
      </c>
      <c r="G51" s="52">
        <f t="shared" si="24"/>
        <v>9.8879999999999996E-2</v>
      </c>
      <c r="H51" s="52">
        <f t="shared" si="22"/>
        <v>0.11535999999999999</v>
      </c>
    </row>
  </sheetData>
  <autoFilter ref="B4:C36" xr:uid="{A8BC7875-BF54-4736-9F00-23194BABD072}"/>
  <mergeCells count="1">
    <mergeCell ref="A1:A3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BFF81A-71A3-4BF6-BF7B-D30F82FE5222}">
  <sheetPr codeName="Sheet1">
    <tabColor rgb="FFFF0000"/>
  </sheetPr>
  <dimension ref="A1:AM475"/>
  <sheetViews>
    <sheetView showGridLines="0" tabSelected="1" zoomScale="90" zoomScaleNormal="90" workbookViewId="0">
      <selection activeCell="F18" sqref="F18"/>
    </sheetView>
  </sheetViews>
  <sheetFormatPr defaultColWidth="9.140625" defaultRowHeight="15" x14ac:dyDescent="0.25"/>
  <cols>
    <col min="1" max="1" width="2.7109375" style="149" customWidth="1"/>
    <col min="2" max="2" width="10.7109375" style="150" customWidth="1"/>
    <col min="3" max="3" width="36.28515625" style="150" customWidth="1"/>
    <col min="4" max="4" width="2.7109375" style="150" customWidth="1"/>
    <col min="5" max="5" width="20.7109375" style="173" customWidth="1"/>
    <col min="6" max="6" width="20.7109375" style="179" customWidth="1"/>
    <col min="7" max="7" width="20.7109375" style="165" customWidth="1"/>
    <col min="8" max="8" width="2.7109375" style="165" customWidth="1"/>
    <col min="9" max="9" width="12.7109375" style="165" customWidth="1"/>
    <col min="10" max="10" width="35.7109375" style="165" customWidth="1"/>
    <col min="11" max="11" width="2.7109375" style="152" customWidth="1"/>
    <col min="12" max="20" width="9.42578125" style="153" customWidth="1"/>
    <col min="21" max="21" width="9.28515625" style="149" customWidth="1"/>
    <col min="22" max="22" width="5.140625" style="154" customWidth="1"/>
    <col min="23" max="24" width="9.140625" style="154"/>
    <col min="25" max="39" width="9.140625" style="149"/>
    <col min="40" max="16384" width="9.140625" style="150"/>
  </cols>
  <sheetData>
    <row r="1" spans="1:39" s="146" customFormat="1" ht="36.950000000000003" customHeight="1" x14ac:dyDescent="0.25">
      <c r="A1" s="145"/>
      <c r="B1" s="342"/>
      <c r="C1" s="343"/>
      <c r="D1" s="344"/>
      <c r="E1" s="344"/>
      <c r="F1" s="345"/>
      <c r="G1" s="345"/>
      <c r="H1" s="345"/>
      <c r="I1" s="345"/>
      <c r="J1" s="345"/>
      <c r="L1" s="145"/>
      <c r="M1" s="145"/>
      <c r="N1" s="145"/>
      <c r="O1" s="145"/>
      <c r="P1" s="145"/>
      <c r="Q1" s="145"/>
      <c r="R1" s="145"/>
      <c r="S1" s="145"/>
      <c r="T1" s="145"/>
      <c r="U1" s="145"/>
      <c r="V1" s="148"/>
      <c r="W1" s="148"/>
      <c r="X1" s="148"/>
      <c r="Y1" s="145"/>
      <c r="Z1" s="145"/>
      <c r="AA1" s="145"/>
      <c r="AB1" s="145"/>
      <c r="AC1" s="145"/>
      <c r="AD1" s="145"/>
      <c r="AE1" s="145"/>
      <c r="AF1" s="145"/>
      <c r="AG1" s="145"/>
      <c r="AH1" s="145"/>
      <c r="AI1" s="145"/>
      <c r="AJ1" s="145"/>
      <c r="AK1" s="145"/>
      <c r="AL1" s="145"/>
      <c r="AM1" s="145"/>
    </row>
    <row r="2" spans="1:39" ht="17.100000000000001" customHeight="1" x14ac:dyDescent="0.25">
      <c r="B2" s="241"/>
      <c r="C2" s="241"/>
      <c r="E2" s="147"/>
      <c r="F2" s="151" t="s">
        <v>149</v>
      </c>
      <c r="G2" s="151" t="s">
        <v>178</v>
      </c>
      <c r="H2" s="147"/>
      <c r="I2" s="365" t="s">
        <v>213</v>
      </c>
      <c r="J2" s="241"/>
      <c r="K2" s="174"/>
    </row>
    <row r="3" spans="1:39" ht="14.45" customHeight="1" x14ac:dyDescent="0.25">
      <c r="B3" s="242"/>
      <c r="C3" s="241"/>
      <c r="D3" s="155"/>
      <c r="E3" s="278" t="s">
        <v>148</v>
      </c>
      <c r="F3" s="250">
        <v>1000</v>
      </c>
      <c r="G3" s="156">
        <f>F3/5280</f>
        <v>0.18939393939393939</v>
      </c>
      <c r="H3" s="157"/>
      <c r="I3" s="366">
        <f>F3/3281</f>
        <v>0.30478512648582751</v>
      </c>
      <c r="J3" s="241"/>
      <c r="K3" s="174"/>
      <c r="Y3" s="154"/>
    </row>
    <row r="4" spans="1:39" ht="14.45" customHeight="1" x14ac:dyDescent="0.25">
      <c r="B4" s="241"/>
      <c r="C4" s="241"/>
      <c r="E4" s="278" t="s">
        <v>191</v>
      </c>
      <c r="F4" s="251">
        <v>0.1</v>
      </c>
      <c r="G4" s="159"/>
      <c r="H4" s="147"/>
      <c r="I4" s="147"/>
      <c r="J4" s="336"/>
      <c r="K4" s="174"/>
    </row>
    <row r="5" spans="1:39" ht="12" customHeight="1" x14ac:dyDescent="0.25">
      <c r="B5" s="241"/>
      <c r="C5" s="241"/>
      <c r="E5" s="147"/>
      <c r="F5" s="147"/>
      <c r="G5" s="147"/>
      <c r="H5" s="147"/>
      <c r="I5" s="147"/>
      <c r="J5" s="335" t="s">
        <v>204</v>
      </c>
      <c r="K5" s="174"/>
    </row>
    <row r="6" spans="1:39" ht="14.1" customHeight="1" x14ac:dyDescent="0.25">
      <c r="B6" s="242"/>
      <c r="C6" s="243"/>
      <c r="E6" s="160" t="s">
        <v>137</v>
      </c>
      <c r="F6" s="161" t="s">
        <v>13</v>
      </c>
      <c r="G6" s="162" t="s">
        <v>185</v>
      </c>
      <c r="H6" s="147"/>
      <c r="I6" s="147"/>
      <c r="J6" s="241"/>
      <c r="K6" s="174"/>
    </row>
    <row r="7" spans="1:39" ht="14.1" customHeight="1" x14ac:dyDescent="0.25">
      <c r="B7" s="241"/>
      <c r="C7" s="243"/>
      <c r="D7" s="155"/>
      <c r="E7" s="277" t="s">
        <v>92</v>
      </c>
      <c r="F7" s="252" t="s">
        <v>102</v>
      </c>
      <c r="G7" s="253" t="s">
        <v>62</v>
      </c>
      <c r="H7" s="147"/>
      <c r="I7" s="147"/>
      <c r="J7" s="241"/>
      <c r="K7" s="174"/>
      <c r="L7" s="163"/>
      <c r="M7" s="163"/>
      <c r="N7" s="163"/>
      <c r="O7" s="163"/>
      <c r="P7" s="163"/>
      <c r="Q7" s="163"/>
      <c r="R7" s="163"/>
      <c r="S7" s="163"/>
      <c r="T7" s="163"/>
    </row>
    <row r="8" spans="1:39" ht="14.1" customHeight="1" x14ac:dyDescent="0.25">
      <c r="B8" s="241"/>
      <c r="C8" s="243"/>
      <c r="D8" s="155"/>
      <c r="E8" s="277" t="s">
        <v>119</v>
      </c>
      <c r="F8" s="252">
        <v>2</v>
      </c>
      <c r="G8" s="253">
        <v>5</v>
      </c>
      <c r="H8" s="147"/>
      <c r="I8" s="147"/>
      <c r="J8" s="241"/>
      <c r="K8" s="174"/>
      <c r="T8" s="163"/>
    </row>
    <row r="9" spans="1:39" ht="14.1" customHeight="1" x14ac:dyDescent="0.25">
      <c r="B9" s="241"/>
      <c r="C9" s="241"/>
      <c r="D9" s="155"/>
      <c r="E9" s="277" t="s">
        <v>182</v>
      </c>
      <c r="F9" s="252" t="s">
        <v>157</v>
      </c>
      <c r="G9" s="253" t="s">
        <v>161</v>
      </c>
      <c r="H9" s="147"/>
      <c r="I9" s="164"/>
      <c r="J9" s="336"/>
      <c r="K9" s="174"/>
      <c r="T9" s="166"/>
    </row>
    <row r="10" spans="1:39" s="168" customFormat="1" ht="14.1" customHeight="1" x14ac:dyDescent="0.25">
      <c r="A10" s="167"/>
      <c r="B10" s="244"/>
      <c r="C10" s="244"/>
      <c r="D10" s="155"/>
      <c r="E10" s="277" t="s">
        <v>91</v>
      </c>
      <c r="F10" s="252">
        <v>2</v>
      </c>
      <c r="G10" s="187">
        <v>1</v>
      </c>
      <c r="H10" s="147"/>
      <c r="I10" s="147"/>
      <c r="J10" s="335" t="s">
        <v>201</v>
      </c>
      <c r="K10" s="174"/>
      <c r="L10" s="167"/>
      <c r="M10" s="167"/>
      <c r="N10" s="167"/>
      <c r="O10" s="167"/>
      <c r="P10" s="167"/>
      <c r="Q10" s="167"/>
      <c r="R10" s="167"/>
      <c r="S10" s="167"/>
      <c r="T10" s="169"/>
      <c r="U10" s="167"/>
      <c r="V10" s="167"/>
      <c r="W10" s="167"/>
      <c r="X10" s="167"/>
      <c r="Y10" s="167"/>
      <c r="Z10" s="167"/>
      <c r="AA10" s="167"/>
      <c r="AB10" s="167"/>
      <c r="AC10" s="167"/>
      <c r="AD10" s="167"/>
      <c r="AE10" s="167"/>
      <c r="AF10" s="167"/>
      <c r="AG10" s="167"/>
      <c r="AH10" s="167"/>
      <c r="AI10" s="167"/>
      <c r="AJ10" s="167"/>
      <c r="AK10" s="167"/>
      <c r="AL10" s="167"/>
      <c r="AM10" s="167"/>
    </row>
    <row r="11" spans="1:39" s="170" customFormat="1" ht="14.1" customHeight="1" x14ac:dyDescent="0.25">
      <c r="A11" s="154"/>
      <c r="B11" s="245"/>
      <c r="C11" s="245"/>
      <c r="D11" s="155"/>
      <c r="E11" s="277" t="s">
        <v>123</v>
      </c>
      <c r="F11" s="252" t="s">
        <v>2</v>
      </c>
      <c r="G11" s="254" t="s">
        <v>2</v>
      </c>
      <c r="H11" s="147"/>
      <c r="I11" s="147"/>
      <c r="J11" s="241"/>
      <c r="K11" s="174"/>
      <c r="L11" s="171"/>
      <c r="M11" s="171"/>
      <c r="N11" s="171"/>
      <c r="O11" s="171"/>
      <c r="P11" s="171"/>
      <c r="Q11" s="171"/>
      <c r="R11" s="171"/>
      <c r="S11" s="171"/>
      <c r="T11" s="171"/>
      <c r="U11" s="154"/>
      <c r="V11" s="154"/>
      <c r="W11" s="154"/>
      <c r="X11" s="154"/>
      <c r="Y11" s="154"/>
      <c r="Z11" s="154"/>
      <c r="AA11" s="154"/>
      <c r="AB11" s="154"/>
      <c r="AC11" s="154"/>
      <c r="AD11" s="154"/>
      <c r="AE11" s="154"/>
      <c r="AF11" s="154"/>
      <c r="AG11" s="154"/>
      <c r="AH11" s="154"/>
      <c r="AI11" s="154"/>
      <c r="AJ11" s="154"/>
      <c r="AK11" s="154"/>
      <c r="AL11" s="154"/>
      <c r="AM11" s="154"/>
    </row>
    <row r="12" spans="1:39" s="170" customFormat="1" ht="14.1" customHeight="1" x14ac:dyDescent="0.25">
      <c r="A12" s="154"/>
      <c r="B12" s="245"/>
      <c r="C12" s="245"/>
      <c r="D12" s="155"/>
      <c r="E12" s="277" t="s">
        <v>164</v>
      </c>
      <c r="F12" s="255" t="s">
        <v>193</v>
      </c>
      <c r="G12" s="253" t="s">
        <v>193</v>
      </c>
      <c r="H12" s="147"/>
      <c r="I12" s="147"/>
      <c r="J12" s="241"/>
      <c r="K12" s="174"/>
      <c r="L12" s="171"/>
      <c r="M12" s="171"/>
      <c r="N12" s="171"/>
      <c r="O12" s="171"/>
      <c r="P12" s="171"/>
      <c r="Q12" s="171"/>
      <c r="R12" s="171"/>
      <c r="S12" s="171"/>
      <c r="T12" s="171"/>
      <c r="U12" s="154"/>
      <c r="V12" s="154"/>
      <c r="W12" s="154"/>
      <c r="X12" s="154"/>
      <c r="Y12" s="154"/>
      <c r="Z12" s="154"/>
      <c r="AA12" s="154"/>
      <c r="AB12" s="154"/>
      <c r="AC12" s="154"/>
      <c r="AD12" s="154"/>
      <c r="AE12" s="154"/>
      <c r="AF12" s="154"/>
      <c r="AG12" s="154"/>
      <c r="AH12" s="154"/>
      <c r="AI12" s="154"/>
      <c r="AJ12" s="154"/>
      <c r="AK12" s="154"/>
      <c r="AL12" s="154"/>
      <c r="AM12" s="154"/>
    </row>
    <row r="13" spans="1:39" s="170" customFormat="1" ht="14.1" customHeight="1" x14ac:dyDescent="0.25">
      <c r="A13" s="154"/>
      <c r="B13" s="245"/>
      <c r="C13" s="245"/>
      <c r="D13" s="155"/>
      <c r="E13" s="277" t="s">
        <v>155</v>
      </c>
      <c r="F13" s="255" t="s">
        <v>167</v>
      </c>
      <c r="G13" s="253" t="s">
        <v>167</v>
      </c>
      <c r="H13" s="147"/>
      <c r="I13" s="147"/>
      <c r="J13" s="241"/>
      <c r="K13" s="174"/>
      <c r="L13" s="171"/>
      <c r="M13" s="171"/>
      <c r="N13" s="171"/>
      <c r="O13" s="171"/>
      <c r="P13" s="171"/>
      <c r="Q13" s="171"/>
      <c r="R13" s="171"/>
      <c r="S13" s="171"/>
      <c r="T13" s="171"/>
      <c r="U13" s="154"/>
      <c r="V13" s="154"/>
      <c r="W13" s="154"/>
      <c r="X13" s="154"/>
      <c r="Y13" s="154"/>
      <c r="Z13" s="154"/>
      <c r="AA13" s="154"/>
      <c r="AB13" s="154"/>
      <c r="AC13" s="154"/>
      <c r="AD13" s="154"/>
      <c r="AE13" s="154"/>
      <c r="AF13" s="154"/>
      <c r="AG13" s="154"/>
      <c r="AH13" s="154"/>
      <c r="AI13" s="154"/>
      <c r="AJ13" s="154"/>
      <c r="AK13" s="154"/>
      <c r="AL13" s="154"/>
      <c r="AM13" s="154"/>
    </row>
    <row r="14" spans="1:39" s="170" customFormat="1" ht="17.100000000000001" customHeight="1" x14ac:dyDescent="0.25">
      <c r="A14" s="154"/>
      <c r="B14" s="245"/>
      <c r="C14" s="245"/>
      <c r="H14" s="147"/>
      <c r="I14" s="147"/>
      <c r="J14" s="241"/>
      <c r="K14" s="174"/>
      <c r="L14" s="171"/>
      <c r="M14" s="171"/>
      <c r="N14" s="171"/>
      <c r="O14" s="171"/>
      <c r="P14" s="171"/>
      <c r="Q14" s="171"/>
      <c r="R14" s="171"/>
      <c r="S14" s="171"/>
      <c r="T14" s="171"/>
      <c r="U14" s="154"/>
      <c r="V14" s="154"/>
      <c r="W14" s="154"/>
      <c r="X14" s="154"/>
      <c r="Y14" s="154"/>
      <c r="Z14" s="154"/>
      <c r="AA14" s="154"/>
      <c r="AB14" s="154"/>
      <c r="AC14" s="154"/>
      <c r="AD14" s="154"/>
      <c r="AE14" s="154"/>
      <c r="AF14" s="154"/>
      <c r="AG14" s="154"/>
      <c r="AH14" s="154"/>
      <c r="AI14" s="154"/>
      <c r="AJ14" s="154"/>
      <c r="AK14" s="154"/>
      <c r="AL14" s="154"/>
      <c r="AM14" s="154"/>
    </row>
    <row r="15" spans="1:39" s="170" customFormat="1" ht="12.6" customHeight="1" x14ac:dyDescent="0.25">
      <c r="A15" s="154"/>
      <c r="B15" s="242"/>
      <c r="C15" s="243"/>
      <c r="D15" s="155"/>
      <c r="E15" s="172"/>
      <c r="F15" s="180"/>
      <c r="H15" s="147"/>
      <c r="I15" s="147"/>
      <c r="J15" s="335" t="s">
        <v>202</v>
      </c>
      <c r="K15" s="174"/>
      <c r="L15" s="171"/>
      <c r="M15" s="171"/>
      <c r="N15" s="171"/>
      <c r="O15" s="171"/>
      <c r="P15" s="171"/>
      <c r="Q15" s="171"/>
      <c r="R15" s="171"/>
      <c r="S15" s="171"/>
      <c r="T15" s="171"/>
      <c r="U15" s="154"/>
      <c r="V15" s="154"/>
      <c r="W15" s="154"/>
      <c r="X15" s="154"/>
      <c r="Y15" s="154"/>
      <c r="Z15" s="154"/>
      <c r="AA15" s="154"/>
      <c r="AB15" s="154"/>
      <c r="AC15" s="154"/>
      <c r="AD15" s="154"/>
      <c r="AE15" s="154"/>
      <c r="AF15" s="154"/>
      <c r="AG15" s="154"/>
      <c r="AH15" s="154"/>
      <c r="AI15" s="154"/>
      <c r="AJ15" s="154"/>
      <c r="AK15" s="154"/>
      <c r="AL15" s="154"/>
      <c r="AM15" s="154"/>
    </row>
    <row r="16" spans="1:39" s="170" customFormat="1" ht="15" customHeight="1" x14ac:dyDescent="0.25">
      <c r="A16" s="154"/>
      <c r="B16" s="245"/>
      <c r="C16" s="245"/>
      <c r="H16" s="147"/>
      <c r="I16" s="147"/>
      <c r="J16" s="241"/>
      <c r="K16" s="174"/>
      <c r="L16" s="171"/>
      <c r="M16" s="171"/>
      <c r="N16" s="171"/>
      <c r="O16" s="171"/>
      <c r="P16" s="171"/>
      <c r="Q16" s="171"/>
      <c r="R16" s="171"/>
      <c r="S16" s="171"/>
      <c r="T16" s="171"/>
      <c r="U16" s="154"/>
      <c r="V16" s="154"/>
      <c r="W16" s="154"/>
      <c r="X16" s="154"/>
      <c r="Y16" s="154"/>
      <c r="Z16" s="154"/>
      <c r="AA16" s="154"/>
      <c r="AB16" s="154"/>
      <c r="AC16" s="154"/>
      <c r="AD16" s="154"/>
      <c r="AE16" s="154"/>
      <c r="AF16" s="154"/>
      <c r="AG16" s="154"/>
      <c r="AH16" s="154"/>
      <c r="AI16" s="154"/>
      <c r="AJ16" s="154"/>
      <c r="AK16" s="154"/>
      <c r="AL16" s="154"/>
      <c r="AM16" s="154"/>
    </row>
    <row r="17" spans="1:39" s="170" customFormat="1" ht="14.45" customHeight="1" x14ac:dyDescent="0.25">
      <c r="A17" s="154"/>
      <c r="B17" s="246"/>
      <c r="C17" s="246"/>
      <c r="D17" s="174"/>
      <c r="E17" s="174"/>
      <c r="F17" s="174"/>
      <c r="G17" s="174"/>
      <c r="H17" s="174"/>
      <c r="J17" s="241"/>
      <c r="K17" s="174"/>
      <c r="L17" s="171"/>
      <c r="M17" s="171"/>
      <c r="N17" s="171"/>
      <c r="O17" s="171"/>
      <c r="P17" s="171"/>
      <c r="Q17" s="171"/>
      <c r="R17" s="171"/>
      <c r="S17" s="171"/>
      <c r="T17" s="171"/>
      <c r="U17" s="154"/>
      <c r="V17" s="154"/>
      <c r="W17" s="154"/>
      <c r="X17" s="154"/>
      <c r="Y17" s="154"/>
      <c r="Z17" s="154"/>
      <c r="AA17" s="154"/>
      <c r="AB17" s="154"/>
      <c r="AC17" s="154"/>
      <c r="AD17" s="154"/>
      <c r="AE17" s="154"/>
      <c r="AF17" s="154"/>
      <c r="AG17" s="154"/>
      <c r="AH17" s="154"/>
      <c r="AI17" s="154"/>
      <c r="AJ17" s="154"/>
      <c r="AK17" s="154"/>
      <c r="AL17" s="154"/>
      <c r="AM17" s="154"/>
    </row>
    <row r="18" spans="1:39" s="170" customFormat="1" ht="12.6" customHeight="1" x14ac:dyDescent="0.25">
      <c r="A18" s="154"/>
      <c r="B18" s="245"/>
      <c r="C18" s="245"/>
      <c r="H18" s="174"/>
      <c r="I18" s="174"/>
      <c r="J18" s="241"/>
      <c r="K18" s="174"/>
      <c r="L18" s="171"/>
      <c r="M18" s="171"/>
      <c r="N18" s="171"/>
      <c r="O18" s="171"/>
      <c r="P18" s="171"/>
      <c r="Q18" s="171"/>
      <c r="R18" s="171"/>
      <c r="S18" s="171"/>
      <c r="T18" s="171"/>
      <c r="U18" s="154"/>
      <c r="V18" s="154"/>
      <c r="W18" s="154"/>
      <c r="X18" s="154"/>
      <c r="Y18" s="154"/>
      <c r="Z18" s="154"/>
      <c r="AA18" s="154"/>
      <c r="AB18" s="154"/>
      <c r="AC18" s="154"/>
      <c r="AD18" s="154"/>
      <c r="AE18" s="154"/>
      <c r="AF18" s="154"/>
      <c r="AG18" s="154"/>
      <c r="AH18" s="154"/>
      <c r="AI18" s="154"/>
      <c r="AJ18" s="154"/>
      <c r="AK18" s="154"/>
      <c r="AL18" s="154"/>
      <c r="AM18" s="154"/>
    </row>
    <row r="19" spans="1:39" s="170" customFormat="1" ht="12" customHeight="1" x14ac:dyDescent="0.25">
      <c r="A19" s="154"/>
      <c r="B19" s="242"/>
      <c r="C19" s="243"/>
      <c r="D19" s="155"/>
      <c r="F19" s="158"/>
      <c r="H19" s="174"/>
      <c r="I19" s="174"/>
      <c r="J19" s="241"/>
      <c r="K19" s="174"/>
      <c r="L19" s="171"/>
      <c r="M19" s="171"/>
      <c r="N19" s="171"/>
      <c r="O19" s="171"/>
      <c r="P19" s="171"/>
      <c r="Q19" s="171"/>
      <c r="R19" s="171"/>
      <c r="S19" s="171"/>
      <c r="T19" s="171"/>
      <c r="U19" s="154"/>
      <c r="V19" s="154"/>
      <c r="W19" s="154"/>
      <c r="X19" s="154"/>
      <c r="Y19" s="154"/>
      <c r="Z19" s="154"/>
      <c r="AA19" s="154"/>
      <c r="AB19" s="154"/>
      <c r="AC19" s="154"/>
      <c r="AD19" s="154"/>
      <c r="AE19" s="154"/>
      <c r="AF19" s="154"/>
      <c r="AG19" s="154"/>
      <c r="AH19" s="154"/>
      <c r="AI19" s="154"/>
      <c r="AJ19" s="154"/>
      <c r="AK19" s="154"/>
      <c r="AL19" s="154"/>
      <c r="AM19" s="154"/>
    </row>
    <row r="20" spans="1:39" s="170" customFormat="1" ht="19.5" customHeight="1" x14ac:dyDescent="0.25">
      <c r="A20" s="154"/>
      <c r="B20" s="245"/>
      <c r="C20" s="245"/>
      <c r="H20" s="174"/>
      <c r="I20" s="174"/>
      <c r="J20" s="241"/>
      <c r="K20" s="174"/>
      <c r="L20" s="171"/>
      <c r="M20" s="171"/>
      <c r="N20" s="171"/>
      <c r="O20" s="171"/>
      <c r="P20" s="171"/>
      <c r="Q20" s="171"/>
      <c r="R20" s="171"/>
      <c r="S20" s="171"/>
      <c r="T20" s="171"/>
      <c r="U20" s="154"/>
      <c r="V20" s="154"/>
      <c r="W20" s="154"/>
      <c r="X20" s="154"/>
      <c r="Y20" s="154"/>
      <c r="Z20" s="154"/>
      <c r="AA20" s="154"/>
      <c r="AB20" s="154"/>
      <c r="AC20" s="154"/>
      <c r="AD20" s="154"/>
      <c r="AE20" s="154"/>
      <c r="AF20" s="154"/>
      <c r="AG20" s="154"/>
      <c r="AH20" s="154"/>
      <c r="AI20" s="154"/>
      <c r="AJ20" s="154"/>
      <c r="AK20" s="154"/>
      <c r="AL20" s="154"/>
      <c r="AM20" s="154"/>
    </row>
    <row r="21" spans="1:39" s="170" customFormat="1" ht="18.95" customHeight="1" x14ac:dyDescent="0.25">
      <c r="A21" s="154"/>
      <c r="B21" s="242"/>
      <c r="C21" s="245"/>
      <c r="E21" s="175" t="s">
        <v>180</v>
      </c>
      <c r="F21" s="175" t="s">
        <v>181</v>
      </c>
      <c r="G21" s="176" t="s">
        <v>205</v>
      </c>
      <c r="H21" s="174"/>
      <c r="I21" s="174"/>
      <c r="J21" s="360"/>
      <c r="K21" s="174"/>
      <c r="L21" s="171"/>
      <c r="M21" s="171"/>
      <c r="N21" s="171"/>
      <c r="O21" s="171"/>
      <c r="P21" s="171"/>
      <c r="Q21" s="171"/>
      <c r="R21" s="171"/>
      <c r="S21" s="171"/>
      <c r="T21" s="171"/>
      <c r="U21" s="154"/>
      <c r="V21" s="154"/>
      <c r="W21" s="154"/>
      <c r="X21" s="154"/>
      <c r="Y21" s="154"/>
      <c r="Z21" s="154"/>
      <c r="AA21" s="154"/>
      <c r="AB21" s="154"/>
      <c r="AC21" s="154"/>
      <c r="AD21" s="154"/>
      <c r="AE21" s="154"/>
      <c r="AF21" s="154"/>
      <c r="AG21" s="154"/>
      <c r="AH21" s="154"/>
      <c r="AI21" s="154"/>
      <c r="AJ21" s="154"/>
      <c r="AK21" s="154"/>
      <c r="AL21" s="154"/>
      <c r="AM21" s="154"/>
    </row>
    <row r="22" spans="1:39" s="170" customFormat="1" ht="12" customHeight="1" x14ac:dyDescent="0.25">
      <c r="A22" s="154"/>
      <c r="B22" s="245"/>
      <c r="C22" s="245"/>
      <c r="D22" s="155"/>
      <c r="E22" s="256">
        <v>0</v>
      </c>
      <c r="F22" s="257" t="s">
        <v>137</v>
      </c>
      <c r="G22" s="258">
        <v>10</v>
      </c>
      <c r="H22" s="177"/>
      <c r="J22" s="241"/>
      <c r="K22" s="174"/>
      <c r="L22" s="171"/>
      <c r="M22" s="171"/>
      <c r="N22" s="171"/>
      <c r="O22" s="171"/>
      <c r="P22" s="171"/>
      <c r="Q22" s="171"/>
      <c r="R22" s="171"/>
      <c r="S22" s="171"/>
      <c r="T22" s="171"/>
      <c r="U22" s="154"/>
      <c r="V22" s="154"/>
      <c r="W22" s="154"/>
      <c r="X22" s="154"/>
      <c r="Y22" s="154"/>
      <c r="Z22" s="154"/>
      <c r="AA22" s="154"/>
      <c r="AB22" s="154"/>
      <c r="AC22" s="154"/>
      <c r="AD22" s="154"/>
      <c r="AE22" s="154"/>
      <c r="AF22" s="154"/>
      <c r="AG22" s="154"/>
      <c r="AH22" s="154"/>
      <c r="AI22" s="154"/>
      <c r="AJ22" s="154"/>
      <c r="AK22" s="154"/>
      <c r="AL22" s="154"/>
      <c r="AM22" s="154"/>
    </row>
    <row r="23" spans="1:39" s="170" customFormat="1" ht="12" customHeight="1" x14ac:dyDescent="0.25">
      <c r="A23" s="154"/>
      <c r="B23" s="245"/>
      <c r="C23" s="243"/>
      <c r="D23" s="155"/>
      <c r="E23" s="256">
        <v>1</v>
      </c>
      <c r="F23" s="259" t="s">
        <v>127</v>
      </c>
      <c r="G23" s="177"/>
      <c r="H23" s="174"/>
      <c r="I23" s="174"/>
      <c r="J23" s="241"/>
      <c r="K23" s="174"/>
      <c r="L23" s="171"/>
      <c r="M23" s="171"/>
      <c r="N23" s="171"/>
      <c r="O23" s="171"/>
      <c r="P23" s="171"/>
      <c r="Q23" s="171"/>
      <c r="R23" s="171"/>
      <c r="S23" s="171"/>
      <c r="T23" s="171"/>
      <c r="U23" s="154"/>
      <c r="V23" s="154"/>
      <c r="W23" s="154"/>
      <c r="X23" s="154"/>
      <c r="Y23" s="154"/>
      <c r="Z23" s="154"/>
      <c r="AA23" s="154"/>
      <c r="AB23" s="154"/>
      <c r="AC23" s="154"/>
      <c r="AD23" s="154"/>
      <c r="AE23" s="154"/>
      <c r="AF23" s="154"/>
      <c r="AG23" s="154"/>
      <c r="AH23" s="154"/>
      <c r="AI23" s="154"/>
      <c r="AJ23" s="154"/>
      <c r="AK23" s="154"/>
      <c r="AL23" s="154"/>
      <c r="AM23" s="154"/>
    </row>
    <row r="24" spans="1:39" s="170" customFormat="1" ht="12" customHeight="1" x14ac:dyDescent="0.25">
      <c r="A24" s="154"/>
      <c r="B24" s="245"/>
      <c r="C24" s="245"/>
      <c r="D24" s="155"/>
      <c r="E24" s="256">
        <v>2</v>
      </c>
      <c r="F24" s="259" t="s">
        <v>127</v>
      </c>
      <c r="G24" s="177"/>
      <c r="H24" s="174"/>
      <c r="I24" s="174"/>
      <c r="J24" s="241"/>
      <c r="K24" s="174"/>
      <c r="L24" s="171"/>
      <c r="M24" s="171"/>
      <c r="N24" s="171"/>
      <c r="O24" s="171"/>
      <c r="P24" s="171"/>
      <c r="Q24" s="171"/>
      <c r="R24" s="171"/>
      <c r="S24" s="171"/>
      <c r="T24" s="171"/>
      <c r="U24" s="154"/>
      <c r="V24" s="154"/>
      <c r="W24" s="154"/>
      <c r="X24" s="154"/>
      <c r="Y24" s="154"/>
      <c r="Z24" s="154"/>
      <c r="AA24" s="154"/>
      <c r="AB24" s="154"/>
      <c r="AC24" s="154"/>
      <c r="AD24" s="154"/>
      <c r="AE24" s="154"/>
      <c r="AF24" s="154"/>
      <c r="AG24" s="154"/>
      <c r="AH24" s="154"/>
      <c r="AI24" s="154"/>
      <c r="AJ24" s="154"/>
      <c r="AK24" s="154"/>
      <c r="AL24" s="154"/>
      <c r="AM24" s="154"/>
    </row>
    <row r="25" spans="1:39" ht="12" customHeight="1" x14ac:dyDescent="0.25">
      <c r="B25" s="241"/>
      <c r="C25" s="245"/>
      <c r="D25" s="155"/>
      <c r="E25" s="256">
        <v>3</v>
      </c>
      <c r="F25" s="259" t="s">
        <v>127</v>
      </c>
      <c r="G25" s="177"/>
      <c r="H25" s="174"/>
      <c r="I25" s="174"/>
      <c r="J25" s="241"/>
      <c r="K25" s="174"/>
    </row>
    <row r="26" spans="1:39" s="170" customFormat="1" ht="12" customHeight="1" x14ac:dyDescent="0.25">
      <c r="A26" s="154"/>
      <c r="B26" s="245"/>
      <c r="C26" s="247"/>
      <c r="D26" s="155"/>
      <c r="E26" s="256">
        <v>4</v>
      </c>
      <c r="F26" s="259" t="s">
        <v>127</v>
      </c>
      <c r="G26" s="177"/>
      <c r="H26" s="174"/>
      <c r="I26" s="174"/>
      <c r="J26" s="241"/>
      <c r="K26" s="174"/>
      <c r="L26" s="153"/>
      <c r="M26" s="153"/>
      <c r="N26" s="153"/>
      <c r="O26" s="153"/>
      <c r="P26" s="153"/>
      <c r="Q26" s="153"/>
      <c r="R26" s="153"/>
      <c r="S26" s="153"/>
      <c r="T26" s="153"/>
      <c r="U26" s="149"/>
      <c r="V26" s="154"/>
      <c r="W26" s="154"/>
      <c r="X26" s="154"/>
      <c r="Y26" s="154"/>
      <c r="Z26" s="154"/>
      <c r="AA26" s="154"/>
      <c r="AB26" s="154"/>
      <c r="AC26" s="154"/>
      <c r="AD26" s="154"/>
      <c r="AE26" s="154"/>
      <c r="AF26" s="154"/>
      <c r="AG26" s="154"/>
      <c r="AH26" s="154"/>
      <c r="AI26" s="154"/>
      <c r="AJ26" s="154"/>
      <c r="AK26" s="154"/>
      <c r="AL26" s="154"/>
      <c r="AM26" s="154"/>
    </row>
    <row r="27" spans="1:39" s="170" customFormat="1" ht="12" customHeight="1" x14ac:dyDescent="0.25">
      <c r="A27" s="154"/>
      <c r="B27" s="245"/>
      <c r="C27" s="248"/>
      <c r="D27" s="155"/>
      <c r="E27" s="256">
        <v>5</v>
      </c>
      <c r="F27" s="259" t="s">
        <v>127</v>
      </c>
      <c r="G27" s="177"/>
      <c r="H27" s="178"/>
      <c r="I27" s="178"/>
      <c r="J27" s="241"/>
      <c r="K27" s="174"/>
      <c r="L27" s="153"/>
      <c r="M27" s="153"/>
      <c r="N27" s="153"/>
      <c r="O27" s="153"/>
      <c r="P27" s="153"/>
      <c r="Q27" s="153"/>
      <c r="R27" s="153"/>
      <c r="S27" s="153"/>
      <c r="T27" s="153"/>
      <c r="U27" s="149"/>
      <c r="V27" s="154"/>
      <c r="W27" s="154"/>
      <c r="X27" s="154"/>
      <c r="Y27" s="154"/>
      <c r="Z27" s="154"/>
      <c r="AA27" s="154"/>
      <c r="AB27" s="154"/>
      <c r="AC27" s="154"/>
      <c r="AD27" s="154"/>
      <c r="AE27" s="154"/>
      <c r="AF27" s="154"/>
      <c r="AG27" s="154"/>
      <c r="AH27" s="154"/>
      <c r="AI27" s="154"/>
      <c r="AJ27" s="154"/>
      <c r="AK27" s="154"/>
      <c r="AL27" s="154"/>
      <c r="AM27" s="154"/>
    </row>
    <row r="28" spans="1:39" s="170" customFormat="1" ht="12" customHeight="1" x14ac:dyDescent="0.25">
      <c r="A28" s="154"/>
      <c r="B28" s="245"/>
      <c r="C28" s="247"/>
      <c r="D28" s="155"/>
      <c r="E28" s="256">
        <v>6</v>
      </c>
      <c r="F28" s="259" t="s">
        <v>127</v>
      </c>
      <c r="G28" s="177"/>
      <c r="H28" s="174"/>
      <c r="I28" s="174"/>
      <c r="J28" s="241"/>
      <c r="K28" s="174"/>
      <c r="L28" s="153"/>
      <c r="M28" s="153"/>
      <c r="N28" s="153"/>
      <c r="O28" s="153"/>
      <c r="P28" s="153"/>
      <c r="Q28" s="153"/>
      <c r="R28" s="153"/>
      <c r="S28" s="153"/>
      <c r="T28" s="153"/>
      <c r="U28" s="149"/>
      <c r="V28" s="154"/>
      <c r="W28" s="154"/>
      <c r="X28" s="154"/>
      <c r="Y28" s="154"/>
      <c r="Z28" s="154"/>
      <c r="AA28" s="154"/>
      <c r="AB28" s="154"/>
      <c r="AC28" s="154"/>
      <c r="AD28" s="154"/>
      <c r="AE28" s="154"/>
      <c r="AF28" s="154"/>
      <c r="AG28" s="154"/>
      <c r="AH28" s="154"/>
      <c r="AI28" s="154"/>
      <c r="AJ28" s="154"/>
      <c r="AK28" s="154"/>
      <c r="AL28" s="154"/>
      <c r="AM28" s="154"/>
    </row>
    <row r="29" spans="1:39" s="170" customFormat="1" ht="12" customHeight="1" x14ac:dyDescent="0.25">
      <c r="A29" s="154"/>
      <c r="B29" s="245"/>
      <c r="C29" s="245"/>
      <c r="D29" s="155"/>
      <c r="E29" s="256">
        <v>7</v>
      </c>
      <c r="F29" s="259" t="s">
        <v>127</v>
      </c>
      <c r="G29" s="177"/>
      <c r="H29" s="174"/>
      <c r="I29" s="174"/>
      <c r="J29" s="241"/>
      <c r="K29" s="174"/>
      <c r="L29" s="153"/>
      <c r="M29" s="153"/>
      <c r="N29" s="153"/>
      <c r="O29" s="153"/>
      <c r="P29" s="153"/>
      <c r="Q29" s="153"/>
      <c r="R29" s="153"/>
      <c r="S29" s="153"/>
      <c r="T29" s="153"/>
      <c r="U29" s="149"/>
      <c r="V29" s="154"/>
      <c r="W29" s="154"/>
      <c r="X29" s="154"/>
      <c r="Y29" s="154"/>
      <c r="Z29" s="154"/>
      <c r="AA29" s="154"/>
      <c r="AB29" s="154"/>
      <c r="AC29" s="154"/>
      <c r="AD29" s="154"/>
      <c r="AE29" s="154"/>
      <c r="AF29" s="154"/>
      <c r="AG29" s="154"/>
      <c r="AH29" s="154"/>
      <c r="AI29" s="154"/>
      <c r="AJ29" s="154"/>
      <c r="AK29" s="154"/>
      <c r="AL29" s="154"/>
      <c r="AM29" s="154"/>
    </row>
    <row r="30" spans="1:39" s="170" customFormat="1" ht="12" customHeight="1" x14ac:dyDescent="0.25">
      <c r="A30" s="154"/>
      <c r="B30" s="245"/>
      <c r="C30" s="245"/>
      <c r="D30" s="155"/>
      <c r="E30" s="256">
        <v>8</v>
      </c>
      <c r="F30" s="259" t="s">
        <v>127</v>
      </c>
      <c r="G30" s="177"/>
      <c r="J30" s="241"/>
      <c r="K30" s="174"/>
      <c r="L30" s="153"/>
      <c r="M30" s="153"/>
      <c r="N30" s="153"/>
      <c r="O30" s="153"/>
      <c r="P30" s="153"/>
      <c r="Q30" s="153"/>
      <c r="R30" s="153"/>
      <c r="S30" s="153"/>
      <c r="T30" s="153"/>
      <c r="U30" s="149"/>
      <c r="V30" s="154"/>
      <c r="W30" s="154"/>
      <c r="X30" s="154"/>
      <c r="Y30" s="154"/>
      <c r="Z30" s="154"/>
      <c r="AA30" s="154"/>
      <c r="AB30" s="154"/>
      <c r="AC30" s="154"/>
      <c r="AD30" s="154"/>
      <c r="AE30" s="154"/>
      <c r="AF30" s="154"/>
      <c r="AG30" s="154"/>
      <c r="AH30" s="154"/>
      <c r="AI30" s="154"/>
      <c r="AJ30" s="154"/>
      <c r="AK30" s="154"/>
      <c r="AL30" s="154"/>
      <c r="AM30" s="154"/>
    </row>
    <row r="31" spans="1:39" ht="12" customHeight="1" x14ac:dyDescent="0.25">
      <c r="B31" s="241"/>
      <c r="C31" s="241"/>
      <c r="D31" s="155"/>
      <c r="E31" s="256">
        <v>9</v>
      </c>
      <c r="F31" s="259" t="s">
        <v>120</v>
      </c>
      <c r="G31" s="177"/>
      <c r="H31" s="174"/>
      <c r="I31" s="174"/>
      <c r="J31" s="241"/>
      <c r="K31" s="174"/>
    </row>
    <row r="32" spans="1:39" ht="12" customHeight="1" x14ac:dyDescent="0.25">
      <c r="B32" s="241"/>
      <c r="C32" s="241"/>
      <c r="D32" s="155"/>
      <c r="E32" s="256">
        <v>10</v>
      </c>
      <c r="F32" s="259" t="s">
        <v>127</v>
      </c>
      <c r="G32" s="177"/>
      <c r="H32" s="174"/>
      <c r="I32" s="174"/>
      <c r="J32" s="241"/>
      <c r="K32" s="174"/>
    </row>
    <row r="33" spans="2:24" ht="12" customHeight="1" x14ac:dyDescent="0.25">
      <c r="B33" s="241"/>
      <c r="C33" s="241"/>
      <c r="H33" s="174"/>
      <c r="I33" s="174"/>
      <c r="J33" s="241"/>
      <c r="K33" s="174"/>
    </row>
    <row r="34" spans="2:24" ht="24" customHeight="1" x14ac:dyDescent="0.25">
      <c r="B34" s="241"/>
      <c r="C34" s="241"/>
      <c r="H34" s="174"/>
      <c r="I34" s="174"/>
      <c r="J34" s="241"/>
      <c r="K34" s="174"/>
    </row>
    <row r="35" spans="2:24" ht="12" customHeight="1" x14ac:dyDescent="0.25">
      <c r="B35" s="241"/>
      <c r="C35" s="241"/>
      <c r="H35" s="178"/>
      <c r="I35" s="178"/>
      <c r="J35" s="241"/>
      <c r="K35" s="174"/>
    </row>
    <row r="36" spans="2:24" ht="12" customHeight="1" x14ac:dyDescent="0.25">
      <c r="H36" s="174"/>
      <c r="I36" s="174"/>
      <c r="J36" s="174"/>
      <c r="K36" s="174"/>
    </row>
    <row r="37" spans="2:24" s="149" customFormat="1" ht="12" customHeight="1" x14ac:dyDescent="0.25">
      <c r="E37" s="171"/>
      <c r="F37" s="355"/>
      <c r="G37" s="356"/>
      <c r="H37" s="357"/>
      <c r="I37" s="357"/>
      <c r="J37" s="357"/>
      <c r="K37" s="357"/>
      <c r="L37" s="153"/>
      <c r="M37" s="153"/>
      <c r="N37" s="153"/>
      <c r="O37" s="153"/>
      <c r="P37" s="153"/>
      <c r="Q37" s="153"/>
      <c r="R37" s="153"/>
      <c r="S37" s="153"/>
      <c r="T37" s="153"/>
      <c r="V37" s="154"/>
      <c r="W37" s="154"/>
      <c r="X37" s="154"/>
    </row>
    <row r="38" spans="2:24" s="149" customFormat="1" ht="12" customHeight="1" x14ac:dyDescent="0.25">
      <c r="E38" s="171"/>
      <c r="F38" s="355"/>
      <c r="G38" s="356"/>
      <c r="H38" s="356"/>
      <c r="I38" s="356"/>
      <c r="J38" s="356"/>
      <c r="K38" s="357"/>
      <c r="L38" s="153"/>
      <c r="M38" s="153"/>
      <c r="N38" s="153"/>
      <c r="O38" s="153"/>
      <c r="P38" s="153"/>
      <c r="Q38" s="153"/>
      <c r="R38" s="153"/>
      <c r="S38" s="153"/>
      <c r="T38" s="153"/>
      <c r="V38" s="154"/>
      <c r="W38" s="154"/>
      <c r="X38" s="154"/>
    </row>
    <row r="39" spans="2:24" s="149" customFormat="1" ht="12" customHeight="1" x14ac:dyDescent="0.25">
      <c r="E39" s="171"/>
      <c r="F39" s="355"/>
      <c r="G39" s="356"/>
      <c r="H39" s="357"/>
      <c r="I39" s="357"/>
      <c r="J39" s="357"/>
      <c r="K39" s="357"/>
      <c r="L39" s="153"/>
      <c r="M39" s="153"/>
      <c r="N39" s="153"/>
      <c r="O39" s="153"/>
      <c r="P39" s="153"/>
      <c r="Q39" s="153"/>
      <c r="R39" s="153"/>
      <c r="S39" s="153"/>
      <c r="T39" s="153"/>
      <c r="V39" s="154"/>
      <c r="W39" s="154"/>
      <c r="X39" s="154"/>
    </row>
    <row r="40" spans="2:24" s="149" customFormat="1" ht="12" customHeight="1" x14ac:dyDescent="0.25">
      <c r="E40" s="171"/>
      <c r="F40" s="355"/>
      <c r="G40" s="356"/>
      <c r="H40" s="357"/>
      <c r="I40" s="357"/>
      <c r="J40" s="357"/>
      <c r="K40" s="357"/>
      <c r="L40" s="153"/>
      <c r="M40" s="153"/>
      <c r="N40" s="153"/>
      <c r="O40" s="153"/>
      <c r="P40" s="153"/>
      <c r="Q40" s="153"/>
      <c r="R40" s="153"/>
      <c r="S40" s="153"/>
      <c r="T40" s="153"/>
      <c r="V40" s="154"/>
      <c r="W40" s="154"/>
      <c r="X40" s="154"/>
    </row>
    <row r="41" spans="2:24" s="149" customFormat="1" ht="12" customHeight="1" x14ac:dyDescent="0.25">
      <c r="E41" s="171"/>
      <c r="F41" s="355"/>
      <c r="G41" s="356"/>
      <c r="H41" s="357"/>
      <c r="I41" s="357"/>
      <c r="J41" s="357"/>
      <c r="K41" s="357"/>
      <c r="L41" s="153"/>
      <c r="M41" s="153"/>
      <c r="N41" s="153"/>
      <c r="O41" s="153"/>
      <c r="P41" s="153"/>
      <c r="Q41" s="153"/>
      <c r="R41" s="153"/>
      <c r="S41" s="153"/>
      <c r="T41" s="153"/>
      <c r="V41" s="154"/>
      <c r="W41" s="154"/>
      <c r="X41" s="154"/>
    </row>
    <row r="42" spans="2:24" s="149" customFormat="1" ht="12" customHeight="1" x14ac:dyDescent="0.25">
      <c r="E42" s="171"/>
      <c r="F42" s="355"/>
      <c r="G42" s="356"/>
      <c r="H42" s="357"/>
      <c r="I42" s="357"/>
      <c r="J42" s="357"/>
      <c r="K42" s="357"/>
      <c r="L42" s="153"/>
      <c r="M42" s="153"/>
      <c r="N42" s="153"/>
      <c r="O42" s="153"/>
      <c r="P42" s="153"/>
      <c r="Q42" s="153"/>
      <c r="R42" s="153"/>
      <c r="S42" s="153"/>
      <c r="T42" s="153"/>
      <c r="V42" s="154"/>
      <c r="W42" s="154"/>
      <c r="X42" s="154"/>
    </row>
    <row r="43" spans="2:24" s="149" customFormat="1" ht="12" customHeight="1" x14ac:dyDescent="0.25">
      <c r="E43" s="171"/>
      <c r="F43" s="355"/>
      <c r="G43" s="356"/>
      <c r="H43" s="358"/>
      <c r="I43" s="358"/>
      <c r="J43" s="358"/>
      <c r="K43" s="357"/>
      <c r="L43" s="153"/>
      <c r="M43" s="153"/>
      <c r="N43" s="153"/>
      <c r="O43" s="153"/>
      <c r="P43" s="153"/>
      <c r="Q43" s="153"/>
      <c r="R43" s="153"/>
      <c r="S43" s="153"/>
      <c r="T43" s="153"/>
      <c r="V43" s="154"/>
      <c r="W43" s="154"/>
      <c r="X43" s="154"/>
    </row>
    <row r="44" spans="2:24" s="149" customFormat="1" ht="12" customHeight="1" x14ac:dyDescent="0.25">
      <c r="E44" s="171"/>
      <c r="F44" s="355"/>
      <c r="G44" s="356"/>
      <c r="H44" s="357"/>
      <c r="I44" s="357"/>
      <c r="J44" s="357"/>
      <c r="K44" s="357"/>
      <c r="L44" s="153"/>
      <c r="M44" s="153"/>
      <c r="N44" s="153"/>
      <c r="O44" s="153"/>
      <c r="P44" s="153"/>
      <c r="Q44" s="153"/>
      <c r="R44" s="153"/>
      <c r="S44" s="153"/>
      <c r="T44" s="153"/>
      <c r="V44" s="154"/>
      <c r="W44" s="154"/>
      <c r="X44" s="154"/>
    </row>
    <row r="45" spans="2:24" s="149" customFormat="1" ht="12" customHeight="1" x14ac:dyDescent="0.25">
      <c r="E45" s="171"/>
      <c r="F45" s="355"/>
      <c r="G45" s="356"/>
      <c r="H45" s="357"/>
      <c r="I45" s="357"/>
      <c r="J45" s="357"/>
      <c r="K45" s="357"/>
      <c r="L45" s="153"/>
      <c r="M45" s="153"/>
      <c r="N45" s="153"/>
      <c r="O45" s="153"/>
      <c r="P45" s="153"/>
      <c r="Q45" s="153"/>
      <c r="R45" s="153"/>
      <c r="S45" s="153"/>
      <c r="T45" s="153"/>
      <c r="V45" s="154"/>
      <c r="W45" s="154"/>
      <c r="X45" s="154"/>
    </row>
    <row r="46" spans="2:24" s="149" customFormat="1" ht="12" customHeight="1" x14ac:dyDescent="0.25">
      <c r="E46" s="171"/>
      <c r="F46" s="355"/>
      <c r="G46" s="356"/>
      <c r="H46" s="356"/>
      <c r="I46" s="356"/>
      <c r="J46" s="356"/>
      <c r="K46" s="357"/>
      <c r="L46" s="153"/>
      <c r="M46" s="153"/>
      <c r="N46" s="153"/>
      <c r="O46" s="153"/>
      <c r="P46" s="153"/>
      <c r="Q46" s="153"/>
      <c r="R46" s="153"/>
      <c r="S46" s="153"/>
      <c r="T46" s="153"/>
      <c r="V46" s="154"/>
      <c r="W46" s="154"/>
      <c r="X46" s="154"/>
    </row>
    <row r="47" spans="2:24" s="149" customFormat="1" ht="12" customHeight="1" x14ac:dyDescent="0.25">
      <c r="E47" s="171"/>
      <c r="F47" s="355"/>
      <c r="G47" s="356"/>
      <c r="H47" s="357"/>
      <c r="I47" s="357"/>
      <c r="J47" s="357"/>
      <c r="K47" s="357"/>
      <c r="L47" s="153"/>
      <c r="M47" s="153"/>
      <c r="N47" s="153"/>
      <c r="O47" s="153"/>
      <c r="P47" s="153"/>
      <c r="Q47" s="153"/>
      <c r="R47" s="153"/>
      <c r="S47" s="153"/>
      <c r="T47" s="153"/>
      <c r="V47" s="154"/>
      <c r="W47" s="154"/>
      <c r="X47" s="154"/>
    </row>
    <row r="48" spans="2:24" s="149" customFormat="1" ht="12" customHeight="1" x14ac:dyDescent="0.25">
      <c r="E48" s="171"/>
      <c r="F48" s="355"/>
      <c r="G48" s="356"/>
      <c r="H48" s="357"/>
      <c r="I48" s="357"/>
      <c r="J48" s="357"/>
      <c r="K48" s="357"/>
      <c r="L48" s="153"/>
      <c r="M48" s="153"/>
      <c r="N48" s="153"/>
      <c r="O48" s="153"/>
      <c r="P48" s="153"/>
      <c r="Q48" s="153"/>
      <c r="R48" s="153"/>
      <c r="S48" s="153"/>
      <c r="T48" s="153"/>
      <c r="V48" s="154"/>
      <c r="W48" s="154"/>
      <c r="X48" s="154"/>
    </row>
    <row r="49" spans="5:24" s="149" customFormat="1" ht="12" customHeight="1" x14ac:dyDescent="0.25">
      <c r="E49" s="171"/>
      <c r="F49" s="355"/>
      <c r="G49" s="356"/>
      <c r="H49" s="357"/>
      <c r="I49" s="357"/>
      <c r="J49" s="357"/>
      <c r="K49" s="357"/>
      <c r="L49" s="153"/>
      <c r="M49" s="153"/>
      <c r="N49" s="153"/>
      <c r="O49" s="153"/>
      <c r="P49" s="153"/>
      <c r="Q49" s="153"/>
      <c r="R49" s="153"/>
      <c r="S49" s="153"/>
      <c r="T49" s="153"/>
      <c r="V49" s="154"/>
      <c r="W49" s="154"/>
      <c r="X49" s="154"/>
    </row>
    <row r="50" spans="5:24" s="149" customFormat="1" ht="12" customHeight="1" x14ac:dyDescent="0.25">
      <c r="E50" s="171"/>
      <c r="F50" s="355"/>
      <c r="G50" s="356"/>
      <c r="H50" s="357"/>
      <c r="I50" s="357"/>
      <c r="J50" s="357"/>
      <c r="K50" s="357"/>
      <c r="L50" s="153"/>
      <c r="M50" s="153"/>
      <c r="N50" s="153"/>
      <c r="O50" s="153"/>
      <c r="P50" s="153"/>
      <c r="Q50" s="153"/>
      <c r="R50" s="153"/>
      <c r="S50" s="153"/>
      <c r="T50" s="153"/>
      <c r="V50" s="154"/>
      <c r="W50" s="154"/>
      <c r="X50" s="154"/>
    </row>
    <row r="51" spans="5:24" s="149" customFormat="1" ht="12" customHeight="1" x14ac:dyDescent="0.25">
      <c r="E51" s="171"/>
      <c r="F51" s="355"/>
      <c r="G51" s="356"/>
      <c r="H51" s="358"/>
      <c r="I51" s="358"/>
      <c r="J51" s="358"/>
      <c r="K51" s="357"/>
      <c r="L51" s="153"/>
      <c r="M51" s="153"/>
      <c r="N51" s="153"/>
      <c r="O51" s="153"/>
      <c r="P51" s="153"/>
      <c r="Q51" s="153"/>
      <c r="R51" s="153"/>
      <c r="S51" s="153"/>
      <c r="T51" s="153"/>
      <c r="V51" s="154"/>
      <c r="W51" s="154"/>
      <c r="X51" s="154"/>
    </row>
    <row r="52" spans="5:24" s="149" customFormat="1" ht="12" customHeight="1" x14ac:dyDescent="0.25">
      <c r="E52" s="171"/>
      <c r="F52" s="355"/>
      <c r="G52" s="356"/>
      <c r="H52" s="357"/>
      <c r="I52" s="357"/>
      <c r="J52" s="357"/>
      <c r="K52" s="357"/>
      <c r="L52" s="153"/>
      <c r="M52" s="153"/>
      <c r="N52" s="153"/>
      <c r="O52" s="153"/>
      <c r="P52" s="153"/>
      <c r="Q52" s="153"/>
      <c r="R52" s="153"/>
      <c r="S52" s="153"/>
      <c r="T52" s="153"/>
      <c r="V52" s="154"/>
      <c r="W52" s="154"/>
      <c r="X52" s="154"/>
    </row>
    <row r="53" spans="5:24" s="149" customFormat="1" ht="12" customHeight="1" x14ac:dyDescent="0.25">
      <c r="E53" s="171"/>
      <c r="F53" s="355"/>
      <c r="G53" s="356"/>
      <c r="H53" s="357"/>
      <c r="I53" s="357"/>
      <c r="J53" s="357"/>
      <c r="K53" s="357"/>
      <c r="L53" s="153"/>
      <c r="M53" s="153"/>
      <c r="N53" s="153"/>
      <c r="O53" s="153"/>
      <c r="P53" s="153"/>
      <c r="Q53" s="153"/>
      <c r="R53" s="153"/>
      <c r="S53" s="153"/>
      <c r="T53" s="153"/>
      <c r="V53" s="154"/>
      <c r="W53" s="154"/>
      <c r="X53" s="154"/>
    </row>
    <row r="54" spans="5:24" s="149" customFormat="1" ht="14.45" customHeight="1" x14ac:dyDescent="0.25">
      <c r="E54" s="355"/>
      <c r="F54" s="355"/>
      <c r="G54" s="356"/>
      <c r="H54" s="356"/>
      <c r="I54" s="356"/>
      <c r="J54" s="356"/>
      <c r="K54" s="357"/>
      <c r="L54" s="153"/>
      <c r="M54" s="153"/>
      <c r="N54" s="153"/>
      <c r="O54" s="153"/>
      <c r="P54" s="153"/>
      <c r="Q54" s="153"/>
      <c r="R54" s="153"/>
      <c r="S54" s="153"/>
      <c r="T54" s="153"/>
      <c r="V54" s="154"/>
      <c r="W54" s="154"/>
      <c r="X54" s="154"/>
    </row>
    <row r="55" spans="5:24" s="149" customFormat="1" ht="14.45" customHeight="1" x14ac:dyDescent="0.25">
      <c r="E55" s="355"/>
      <c r="F55" s="355"/>
      <c r="G55" s="356"/>
      <c r="H55" s="356"/>
      <c r="I55" s="356"/>
      <c r="J55" s="356"/>
      <c r="K55" s="357"/>
      <c r="L55" s="153"/>
      <c r="M55" s="153"/>
      <c r="N55" s="153"/>
      <c r="O55" s="153"/>
      <c r="P55" s="153"/>
      <c r="Q55" s="153"/>
      <c r="R55" s="153"/>
      <c r="S55" s="153"/>
      <c r="T55" s="153"/>
      <c r="V55" s="154"/>
      <c r="W55" s="154"/>
      <c r="X55" s="154"/>
    </row>
    <row r="56" spans="5:24" s="149" customFormat="1" ht="14.45" customHeight="1" x14ac:dyDescent="0.25">
      <c r="E56" s="355"/>
      <c r="F56" s="355"/>
      <c r="G56" s="356"/>
      <c r="H56" s="356"/>
      <c r="I56" s="356"/>
      <c r="J56" s="356"/>
      <c r="K56" s="357"/>
      <c r="L56" s="153"/>
      <c r="M56" s="153"/>
      <c r="N56" s="153"/>
      <c r="O56" s="153"/>
      <c r="P56" s="153"/>
      <c r="Q56" s="153"/>
      <c r="R56" s="153"/>
      <c r="S56" s="153"/>
      <c r="T56" s="153"/>
      <c r="V56" s="154"/>
      <c r="W56" s="154"/>
      <c r="X56" s="154"/>
    </row>
    <row r="57" spans="5:24" s="149" customFormat="1" x14ac:dyDescent="0.25">
      <c r="E57" s="355"/>
      <c r="F57" s="355"/>
      <c r="G57" s="356"/>
      <c r="H57" s="356"/>
      <c r="I57" s="356"/>
      <c r="J57" s="356"/>
      <c r="K57" s="357"/>
      <c r="L57" s="153"/>
      <c r="M57" s="153"/>
      <c r="N57" s="153"/>
      <c r="O57" s="153"/>
      <c r="P57" s="153"/>
      <c r="Q57" s="153"/>
      <c r="R57" s="153"/>
      <c r="S57" s="153"/>
      <c r="T57" s="153"/>
      <c r="V57" s="154"/>
      <c r="W57" s="154"/>
      <c r="X57" s="154"/>
    </row>
    <row r="58" spans="5:24" s="149" customFormat="1" ht="14.45" customHeight="1" x14ac:dyDescent="0.25">
      <c r="E58" s="355"/>
      <c r="F58" s="355"/>
      <c r="G58" s="154"/>
      <c r="H58" s="154"/>
      <c r="I58" s="154"/>
      <c r="J58" s="154"/>
      <c r="K58" s="357"/>
      <c r="L58" s="153"/>
      <c r="M58" s="153"/>
      <c r="N58" s="153"/>
      <c r="O58" s="153"/>
      <c r="P58" s="153"/>
      <c r="Q58" s="153"/>
      <c r="R58" s="153"/>
      <c r="S58" s="153"/>
      <c r="T58" s="153"/>
      <c r="V58" s="154"/>
      <c r="W58" s="154"/>
      <c r="X58" s="154"/>
    </row>
    <row r="59" spans="5:24" s="149" customFormat="1" x14ac:dyDescent="0.25">
      <c r="E59" s="171"/>
      <c r="F59" s="355"/>
      <c r="G59" s="154"/>
      <c r="H59" s="154"/>
      <c r="I59" s="154"/>
      <c r="J59" s="154"/>
      <c r="K59" s="357"/>
      <c r="L59" s="153"/>
      <c r="M59" s="153"/>
      <c r="N59" s="153"/>
      <c r="O59" s="153"/>
      <c r="P59" s="153"/>
      <c r="Q59" s="153"/>
      <c r="R59" s="153"/>
      <c r="S59" s="153"/>
      <c r="T59" s="153"/>
      <c r="V59" s="154"/>
      <c r="W59" s="154"/>
      <c r="X59" s="154"/>
    </row>
    <row r="60" spans="5:24" s="149" customFormat="1" x14ac:dyDescent="0.25">
      <c r="E60" s="171"/>
      <c r="F60" s="355"/>
      <c r="G60" s="154"/>
      <c r="H60" s="154"/>
      <c r="I60" s="154"/>
      <c r="J60" s="154"/>
      <c r="K60" s="357"/>
      <c r="L60" s="153"/>
      <c r="M60" s="153"/>
      <c r="N60" s="153"/>
      <c r="O60" s="153"/>
      <c r="P60" s="153"/>
      <c r="Q60" s="153"/>
      <c r="R60" s="153"/>
      <c r="S60" s="153"/>
      <c r="T60" s="153"/>
      <c r="V60" s="154"/>
      <c r="W60" s="154"/>
      <c r="X60" s="154"/>
    </row>
    <row r="61" spans="5:24" s="149" customFormat="1" x14ac:dyDescent="0.25">
      <c r="E61" s="171"/>
      <c r="F61" s="355"/>
      <c r="G61" s="154"/>
      <c r="H61" s="154"/>
      <c r="I61" s="154"/>
      <c r="J61" s="154"/>
      <c r="K61" s="357"/>
      <c r="L61" s="153"/>
      <c r="M61" s="153"/>
      <c r="N61" s="153"/>
      <c r="O61" s="153"/>
      <c r="P61" s="153"/>
      <c r="Q61" s="153"/>
      <c r="R61" s="153"/>
      <c r="S61" s="153"/>
      <c r="T61" s="153"/>
      <c r="V61" s="154"/>
      <c r="W61" s="154"/>
      <c r="X61" s="154"/>
    </row>
    <row r="62" spans="5:24" s="149" customFormat="1" x14ac:dyDescent="0.25">
      <c r="E62" s="171"/>
      <c r="F62" s="355"/>
      <c r="G62" s="356"/>
      <c r="H62" s="356"/>
      <c r="I62" s="356"/>
      <c r="J62" s="356"/>
      <c r="K62" s="357"/>
      <c r="L62" s="153"/>
      <c r="M62" s="153"/>
      <c r="N62" s="153"/>
      <c r="O62" s="153"/>
      <c r="P62" s="153"/>
      <c r="Q62" s="153"/>
      <c r="R62" s="153"/>
      <c r="S62" s="153"/>
      <c r="T62" s="153"/>
      <c r="V62" s="154"/>
      <c r="W62" s="154"/>
      <c r="X62" s="154"/>
    </row>
    <row r="63" spans="5:24" s="149" customFormat="1" x14ac:dyDescent="0.25">
      <c r="E63" s="171"/>
      <c r="F63" s="355"/>
      <c r="G63" s="356"/>
      <c r="H63" s="356"/>
      <c r="I63" s="356"/>
      <c r="J63" s="356"/>
      <c r="K63" s="357"/>
      <c r="L63" s="153"/>
      <c r="M63" s="153"/>
      <c r="N63" s="153"/>
      <c r="O63" s="153"/>
      <c r="P63" s="153"/>
      <c r="Q63" s="153"/>
      <c r="R63" s="153"/>
      <c r="S63" s="153"/>
      <c r="T63" s="153"/>
      <c r="V63" s="154"/>
      <c r="W63" s="154"/>
      <c r="X63" s="154"/>
    </row>
    <row r="64" spans="5:24" s="149" customFormat="1" x14ac:dyDescent="0.25">
      <c r="E64" s="171"/>
      <c r="F64" s="355"/>
      <c r="G64" s="356"/>
      <c r="H64" s="356"/>
      <c r="I64" s="356"/>
      <c r="J64" s="356"/>
      <c r="K64" s="357"/>
      <c r="L64" s="153"/>
      <c r="M64" s="153"/>
      <c r="N64" s="153"/>
      <c r="O64" s="153"/>
      <c r="P64" s="153"/>
      <c r="Q64" s="153"/>
      <c r="R64" s="153"/>
      <c r="S64" s="153"/>
      <c r="T64" s="153"/>
      <c r="V64" s="154"/>
      <c r="W64" s="154"/>
      <c r="X64" s="154"/>
    </row>
    <row r="65" spans="5:24" s="149" customFormat="1" x14ac:dyDescent="0.25">
      <c r="E65" s="171"/>
      <c r="F65" s="355"/>
      <c r="G65" s="356"/>
      <c r="H65" s="356"/>
      <c r="I65" s="356"/>
      <c r="J65" s="356"/>
      <c r="K65" s="357"/>
      <c r="L65" s="153"/>
      <c r="M65" s="153"/>
      <c r="N65" s="153"/>
      <c r="O65" s="153"/>
      <c r="P65" s="153"/>
      <c r="Q65" s="153"/>
      <c r="R65" s="153"/>
      <c r="S65" s="153"/>
      <c r="T65" s="153"/>
      <c r="V65" s="154"/>
      <c r="W65" s="154"/>
      <c r="X65" s="154"/>
    </row>
    <row r="66" spans="5:24" s="149" customFormat="1" x14ac:dyDescent="0.25">
      <c r="E66" s="171"/>
      <c r="F66" s="355"/>
      <c r="G66" s="356"/>
      <c r="H66" s="356"/>
      <c r="I66" s="356"/>
      <c r="J66" s="356"/>
      <c r="K66" s="357"/>
      <c r="L66" s="153"/>
      <c r="M66" s="153"/>
      <c r="N66" s="153"/>
      <c r="O66" s="153"/>
      <c r="P66" s="153"/>
      <c r="Q66" s="153"/>
      <c r="R66" s="153"/>
      <c r="S66" s="153"/>
      <c r="T66" s="153"/>
      <c r="V66" s="154"/>
      <c r="W66" s="154"/>
      <c r="X66" s="154"/>
    </row>
    <row r="67" spans="5:24" s="149" customFormat="1" x14ac:dyDescent="0.25">
      <c r="E67" s="171"/>
      <c r="F67" s="355"/>
      <c r="G67" s="356"/>
      <c r="H67" s="356"/>
      <c r="I67" s="356"/>
      <c r="J67" s="356"/>
      <c r="K67" s="357"/>
      <c r="L67" s="153"/>
      <c r="M67" s="153"/>
      <c r="N67" s="153"/>
      <c r="O67" s="153"/>
      <c r="P67" s="153"/>
      <c r="Q67" s="153"/>
      <c r="R67" s="153"/>
      <c r="S67" s="153"/>
      <c r="T67" s="153"/>
      <c r="V67" s="154"/>
      <c r="W67" s="154"/>
      <c r="X67" s="154"/>
    </row>
    <row r="68" spans="5:24" s="149" customFormat="1" x14ac:dyDescent="0.25">
      <c r="E68" s="171"/>
      <c r="F68" s="355"/>
      <c r="G68" s="356"/>
      <c r="H68" s="356"/>
      <c r="I68" s="356"/>
      <c r="J68" s="356"/>
      <c r="K68" s="357"/>
      <c r="L68" s="153"/>
      <c r="M68" s="153"/>
      <c r="N68" s="153"/>
      <c r="O68" s="153"/>
      <c r="P68" s="153"/>
      <c r="Q68" s="153"/>
      <c r="R68" s="153"/>
      <c r="S68" s="153"/>
      <c r="T68" s="153"/>
      <c r="V68" s="154"/>
      <c r="W68" s="154"/>
      <c r="X68" s="154"/>
    </row>
    <row r="69" spans="5:24" s="149" customFormat="1" x14ac:dyDescent="0.25">
      <c r="E69" s="171"/>
      <c r="F69" s="355"/>
      <c r="G69" s="356"/>
      <c r="H69" s="356"/>
      <c r="I69" s="356"/>
      <c r="J69" s="356"/>
      <c r="K69" s="357"/>
      <c r="L69" s="153"/>
      <c r="M69" s="153"/>
      <c r="N69" s="153"/>
      <c r="O69" s="153"/>
      <c r="P69" s="153"/>
      <c r="Q69" s="153"/>
      <c r="R69" s="153"/>
      <c r="S69" s="153"/>
      <c r="T69" s="153"/>
      <c r="V69" s="154"/>
      <c r="W69" s="154"/>
      <c r="X69" s="154"/>
    </row>
    <row r="70" spans="5:24" s="149" customFormat="1" x14ac:dyDescent="0.25">
      <c r="E70" s="171"/>
      <c r="F70" s="355"/>
      <c r="G70" s="356"/>
      <c r="H70" s="356"/>
      <c r="I70" s="356"/>
      <c r="J70" s="356"/>
      <c r="K70" s="357"/>
      <c r="L70" s="153"/>
      <c r="M70" s="153"/>
      <c r="N70" s="153"/>
      <c r="O70" s="153"/>
      <c r="P70" s="153"/>
      <c r="Q70" s="153"/>
      <c r="R70" s="153"/>
      <c r="S70" s="153"/>
      <c r="T70" s="153"/>
      <c r="V70" s="154"/>
      <c r="W70" s="154"/>
      <c r="X70" s="154"/>
    </row>
    <row r="71" spans="5:24" s="149" customFormat="1" x14ac:dyDescent="0.25">
      <c r="E71" s="171"/>
      <c r="F71" s="355"/>
      <c r="G71" s="356"/>
      <c r="H71" s="356"/>
      <c r="I71" s="356"/>
      <c r="J71" s="356"/>
      <c r="K71" s="357"/>
      <c r="L71" s="153"/>
      <c r="M71" s="153"/>
      <c r="N71" s="153"/>
      <c r="O71" s="153"/>
      <c r="P71" s="153"/>
      <c r="Q71" s="153"/>
      <c r="R71" s="153"/>
      <c r="S71" s="153"/>
      <c r="T71" s="153"/>
      <c r="V71" s="154"/>
      <c r="W71" s="154"/>
      <c r="X71" s="154"/>
    </row>
    <row r="72" spans="5:24" s="149" customFormat="1" x14ac:dyDescent="0.25">
      <c r="E72" s="171"/>
      <c r="F72" s="355"/>
      <c r="G72" s="356"/>
      <c r="H72" s="356"/>
      <c r="I72" s="356"/>
      <c r="J72" s="356"/>
      <c r="K72" s="357"/>
      <c r="L72" s="153"/>
      <c r="M72" s="153"/>
      <c r="N72" s="153"/>
      <c r="O72" s="153"/>
      <c r="P72" s="153"/>
      <c r="Q72" s="153"/>
      <c r="R72" s="153"/>
      <c r="S72" s="153"/>
      <c r="T72" s="153"/>
      <c r="V72" s="154"/>
      <c r="W72" s="154"/>
      <c r="X72" s="154"/>
    </row>
    <row r="73" spans="5:24" s="149" customFormat="1" x14ac:dyDescent="0.25">
      <c r="E73" s="171"/>
      <c r="F73" s="355"/>
      <c r="G73" s="356"/>
      <c r="H73" s="356"/>
      <c r="I73" s="356"/>
      <c r="J73" s="356"/>
      <c r="K73" s="357"/>
      <c r="L73" s="153"/>
      <c r="M73" s="153"/>
      <c r="N73" s="153"/>
      <c r="O73" s="153"/>
      <c r="P73" s="153"/>
      <c r="Q73" s="153"/>
      <c r="R73" s="153"/>
      <c r="S73" s="153"/>
      <c r="T73" s="153"/>
      <c r="V73" s="154"/>
      <c r="W73" s="154"/>
      <c r="X73" s="154"/>
    </row>
    <row r="74" spans="5:24" s="149" customFormat="1" x14ac:dyDescent="0.25">
      <c r="E74" s="171"/>
      <c r="F74" s="355"/>
      <c r="G74" s="356"/>
      <c r="H74" s="356"/>
      <c r="I74" s="356"/>
      <c r="J74" s="356"/>
      <c r="K74" s="357"/>
      <c r="L74" s="153"/>
      <c r="M74" s="153"/>
      <c r="N74" s="153"/>
      <c r="O74" s="153"/>
      <c r="P74" s="153"/>
      <c r="Q74" s="153"/>
      <c r="R74" s="153"/>
      <c r="S74" s="153"/>
      <c r="T74" s="153"/>
      <c r="V74" s="154"/>
      <c r="W74" s="154"/>
      <c r="X74" s="154"/>
    </row>
    <row r="75" spans="5:24" s="149" customFormat="1" x14ac:dyDescent="0.25">
      <c r="E75" s="171"/>
      <c r="F75" s="355"/>
      <c r="G75" s="356"/>
      <c r="H75" s="356"/>
      <c r="I75" s="356"/>
      <c r="J75" s="356"/>
      <c r="K75" s="357"/>
      <c r="L75" s="153"/>
      <c r="M75" s="153"/>
      <c r="N75" s="153"/>
      <c r="O75" s="153"/>
      <c r="P75" s="153"/>
      <c r="Q75" s="153"/>
      <c r="R75" s="153"/>
      <c r="S75" s="153"/>
      <c r="T75" s="153"/>
      <c r="V75" s="154"/>
      <c r="W75" s="154"/>
      <c r="X75" s="154"/>
    </row>
    <row r="76" spans="5:24" s="149" customFormat="1" x14ac:dyDescent="0.25">
      <c r="E76" s="171"/>
      <c r="F76" s="355"/>
      <c r="G76" s="356"/>
      <c r="H76" s="356"/>
      <c r="I76" s="356"/>
      <c r="J76" s="356"/>
      <c r="K76" s="357"/>
      <c r="L76" s="153"/>
      <c r="M76" s="153"/>
      <c r="N76" s="153"/>
      <c r="O76" s="153"/>
      <c r="P76" s="153"/>
      <c r="Q76" s="153"/>
      <c r="R76" s="153"/>
      <c r="S76" s="153"/>
      <c r="T76" s="153"/>
      <c r="V76" s="154"/>
      <c r="W76" s="154"/>
      <c r="X76" s="154"/>
    </row>
    <row r="77" spans="5:24" s="149" customFormat="1" x14ac:dyDescent="0.25">
      <c r="E77" s="171"/>
      <c r="F77" s="355"/>
      <c r="G77" s="356"/>
      <c r="H77" s="356"/>
      <c r="I77" s="356"/>
      <c r="J77" s="356"/>
      <c r="K77" s="357"/>
      <c r="L77" s="153"/>
      <c r="M77" s="153"/>
      <c r="N77" s="153"/>
      <c r="O77" s="153"/>
      <c r="P77" s="153"/>
      <c r="Q77" s="153"/>
      <c r="R77" s="153"/>
      <c r="S77" s="153"/>
      <c r="T77" s="153"/>
      <c r="V77" s="154"/>
      <c r="W77" s="154"/>
      <c r="X77" s="154"/>
    </row>
    <row r="78" spans="5:24" s="149" customFormat="1" x14ac:dyDescent="0.25">
      <c r="E78" s="171"/>
      <c r="F78" s="355"/>
      <c r="G78" s="356"/>
      <c r="H78" s="356"/>
      <c r="I78" s="356"/>
      <c r="J78" s="356"/>
      <c r="K78" s="357"/>
      <c r="L78" s="153"/>
      <c r="M78" s="153"/>
      <c r="N78" s="153"/>
      <c r="O78" s="153"/>
      <c r="P78" s="153"/>
      <c r="Q78" s="153"/>
      <c r="R78" s="153"/>
      <c r="S78" s="153"/>
      <c r="T78" s="153"/>
      <c r="V78" s="154"/>
      <c r="W78" s="154"/>
      <c r="X78" s="154"/>
    </row>
    <row r="79" spans="5:24" s="149" customFormat="1" x14ac:dyDescent="0.25">
      <c r="E79" s="171"/>
      <c r="F79" s="355"/>
      <c r="G79" s="356"/>
      <c r="H79" s="356"/>
      <c r="I79" s="356"/>
      <c r="J79" s="356"/>
      <c r="K79" s="357"/>
      <c r="L79" s="153"/>
      <c r="M79" s="153"/>
      <c r="N79" s="153"/>
      <c r="O79" s="153"/>
      <c r="P79" s="153"/>
      <c r="Q79" s="153"/>
      <c r="R79" s="153"/>
      <c r="S79" s="153"/>
      <c r="T79" s="153"/>
      <c r="V79" s="154"/>
      <c r="W79" s="154"/>
      <c r="X79" s="154"/>
    </row>
    <row r="80" spans="5:24" s="149" customFormat="1" x14ac:dyDescent="0.25">
      <c r="E80" s="171"/>
      <c r="F80" s="355"/>
      <c r="G80" s="356"/>
      <c r="H80" s="356"/>
      <c r="I80" s="356"/>
      <c r="J80" s="356"/>
      <c r="K80" s="357"/>
      <c r="L80" s="153"/>
      <c r="M80" s="153"/>
      <c r="N80" s="153"/>
      <c r="O80" s="153"/>
      <c r="P80" s="153"/>
      <c r="Q80" s="153"/>
      <c r="R80" s="153"/>
      <c r="S80" s="153"/>
      <c r="T80" s="153"/>
      <c r="V80" s="154"/>
      <c r="W80" s="154"/>
      <c r="X80" s="154"/>
    </row>
    <row r="81" spans="5:24" s="149" customFormat="1" x14ac:dyDescent="0.25">
      <c r="E81" s="171"/>
      <c r="F81" s="355"/>
      <c r="G81" s="356"/>
      <c r="H81" s="356"/>
      <c r="I81" s="356"/>
      <c r="J81" s="356"/>
      <c r="K81" s="357"/>
      <c r="L81" s="153"/>
      <c r="M81" s="153"/>
      <c r="N81" s="153"/>
      <c r="O81" s="153"/>
      <c r="P81" s="153"/>
      <c r="Q81" s="153"/>
      <c r="R81" s="153"/>
      <c r="S81" s="153"/>
      <c r="T81" s="153"/>
      <c r="V81" s="154"/>
      <c r="W81" s="154"/>
      <c r="X81" s="154"/>
    </row>
    <row r="82" spans="5:24" s="149" customFormat="1" x14ac:dyDescent="0.25">
      <c r="E82" s="171"/>
      <c r="F82" s="355"/>
      <c r="G82" s="356"/>
      <c r="H82" s="356"/>
      <c r="I82" s="356"/>
      <c r="J82" s="356"/>
      <c r="K82" s="357"/>
      <c r="L82" s="153"/>
      <c r="M82" s="153"/>
      <c r="N82" s="153"/>
      <c r="O82" s="153"/>
      <c r="P82" s="153"/>
      <c r="Q82" s="153"/>
      <c r="R82" s="153"/>
      <c r="S82" s="153"/>
      <c r="T82" s="153"/>
      <c r="V82" s="154"/>
      <c r="W82" s="154"/>
      <c r="X82" s="154"/>
    </row>
    <row r="83" spans="5:24" s="149" customFormat="1" x14ac:dyDescent="0.25">
      <c r="E83" s="171"/>
      <c r="F83" s="355"/>
      <c r="G83" s="356"/>
      <c r="H83" s="356"/>
      <c r="I83" s="356"/>
      <c r="J83" s="356"/>
      <c r="K83" s="357"/>
      <c r="L83" s="153"/>
      <c r="M83" s="153"/>
      <c r="N83" s="153"/>
      <c r="O83" s="153"/>
      <c r="P83" s="153"/>
      <c r="Q83" s="153"/>
      <c r="R83" s="153"/>
      <c r="S83" s="153"/>
      <c r="T83" s="153"/>
      <c r="V83" s="154"/>
      <c r="W83" s="154"/>
      <c r="X83" s="154"/>
    </row>
    <row r="84" spans="5:24" s="149" customFormat="1" x14ac:dyDescent="0.25">
      <c r="E84" s="171"/>
      <c r="F84" s="355"/>
      <c r="G84" s="356"/>
      <c r="H84" s="356"/>
      <c r="I84" s="356"/>
      <c r="J84" s="356"/>
      <c r="K84" s="357"/>
      <c r="L84" s="153"/>
      <c r="M84" s="153"/>
      <c r="N84" s="153"/>
      <c r="O84" s="153"/>
      <c r="P84" s="153"/>
      <c r="Q84" s="153"/>
      <c r="R84" s="153"/>
      <c r="S84" s="153"/>
      <c r="T84" s="153"/>
      <c r="V84" s="154"/>
      <c r="W84" s="154"/>
      <c r="X84" s="154"/>
    </row>
    <row r="85" spans="5:24" s="149" customFormat="1" x14ac:dyDescent="0.25">
      <c r="E85" s="171"/>
      <c r="F85" s="355"/>
      <c r="G85" s="356"/>
      <c r="H85" s="356"/>
      <c r="I85" s="356"/>
      <c r="J85" s="356"/>
      <c r="K85" s="357"/>
      <c r="L85" s="153"/>
      <c r="M85" s="153"/>
      <c r="N85" s="153"/>
      <c r="O85" s="153"/>
      <c r="P85" s="153"/>
      <c r="Q85" s="153"/>
      <c r="R85" s="153"/>
      <c r="S85" s="153"/>
      <c r="T85" s="153"/>
      <c r="V85" s="154"/>
      <c r="W85" s="154"/>
      <c r="X85" s="154"/>
    </row>
    <row r="86" spans="5:24" s="149" customFormat="1" x14ac:dyDescent="0.25">
      <c r="E86" s="171"/>
      <c r="F86" s="355"/>
      <c r="G86" s="356"/>
      <c r="H86" s="356"/>
      <c r="I86" s="356"/>
      <c r="J86" s="356"/>
      <c r="K86" s="357"/>
      <c r="L86" s="153"/>
      <c r="M86" s="153"/>
      <c r="N86" s="153"/>
      <c r="O86" s="153"/>
      <c r="P86" s="153"/>
      <c r="Q86" s="153"/>
      <c r="R86" s="153"/>
      <c r="S86" s="153"/>
      <c r="T86" s="153"/>
      <c r="V86" s="154"/>
      <c r="W86" s="154"/>
      <c r="X86" s="154"/>
    </row>
    <row r="87" spans="5:24" s="149" customFormat="1" x14ac:dyDescent="0.25">
      <c r="E87" s="171"/>
      <c r="F87" s="355"/>
      <c r="G87" s="356"/>
      <c r="H87" s="356"/>
      <c r="I87" s="356"/>
      <c r="J87" s="356"/>
      <c r="K87" s="357"/>
      <c r="L87" s="153"/>
      <c r="M87" s="153"/>
      <c r="N87" s="153"/>
      <c r="O87" s="153"/>
      <c r="P87" s="153"/>
      <c r="Q87" s="153"/>
      <c r="R87" s="153"/>
      <c r="S87" s="153"/>
      <c r="T87" s="153"/>
      <c r="V87" s="154"/>
      <c r="W87" s="154"/>
      <c r="X87" s="154"/>
    </row>
    <row r="88" spans="5:24" s="149" customFormat="1" x14ac:dyDescent="0.25">
      <c r="E88" s="171"/>
      <c r="F88" s="355"/>
      <c r="G88" s="356"/>
      <c r="H88" s="356"/>
      <c r="I88" s="356"/>
      <c r="J88" s="356"/>
      <c r="K88" s="357"/>
      <c r="L88" s="153"/>
      <c r="M88" s="153"/>
      <c r="N88" s="153"/>
      <c r="O88" s="153"/>
      <c r="P88" s="153"/>
      <c r="Q88" s="153"/>
      <c r="R88" s="153"/>
      <c r="S88" s="153"/>
      <c r="T88" s="153"/>
      <c r="V88" s="154"/>
      <c r="W88" s="154"/>
      <c r="X88" s="154"/>
    </row>
    <row r="89" spans="5:24" s="149" customFormat="1" x14ac:dyDescent="0.25">
      <c r="E89" s="171"/>
      <c r="F89" s="355"/>
      <c r="G89" s="356"/>
      <c r="H89" s="356"/>
      <c r="I89" s="356"/>
      <c r="J89" s="356"/>
      <c r="K89" s="357"/>
      <c r="L89" s="153"/>
      <c r="M89" s="153"/>
      <c r="N89" s="153"/>
      <c r="O89" s="153"/>
      <c r="P89" s="153"/>
      <c r="Q89" s="153"/>
      <c r="R89" s="153"/>
      <c r="S89" s="153"/>
      <c r="T89" s="153"/>
      <c r="V89" s="154"/>
      <c r="W89" s="154"/>
      <c r="X89" s="154"/>
    </row>
    <row r="90" spans="5:24" s="149" customFormat="1" x14ac:dyDescent="0.25">
      <c r="E90" s="171"/>
      <c r="F90" s="355"/>
      <c r="G90" s="356"/>
      <c r="H90" s="356"/>
      <c r="I90" s="356"/>
      <c r="J90" s="356"/>
      <c r="K90" s="357"/>
      <c r="L90" s="153"/>
      <c r="M90" s="153"/>
      <c r="N90" s="153"/>
      <c r="O90" s="153"/>
      <c r="P90" s="153"/>
      <c r="Q90" s="153"/>
      <c r="R90" s="153"/>
      <c r="S90" s="153"/>
      <c r="T90" s="153"/>
      <c r="V90" s="154"/>
      <c r="W90" s="154"/>
      <c r="X90" s="154"/>
    </row>
    <row r="91" spans="5:24" s="149" customFormat="1" x14ac:dyDescent="0.25">
      <c r="E91" s="171"/>
      <c r="F91" s="355"/>
      <c r="G91" s="356"/>
      <c r="H91" s="356"/>
      <c r="I91" s="356"/>
      <c r="J91" s="356"/>
      <c r="K91" s="357"/>
      <c r="L91" s="153"/>
      <c r="M91" s="153"/>
      <c r="N91" s="153"/>
      <c r="O91" s="153"/>
      <c r="P91" s="153"/>
      <c r="Q91" s="153"/>
      <c r="R91" s="153"/>
      <c r="S91" s="153"/>
      <c r="T91" s="153"/>
      <c r="V91" s="154"/>
      <c r="W91" s="154"/>
      <c r="X91" s="154"/>
    </row>
    <row r="92" spans="5:24" s="149" customFormat="1" x14ac:dyDescent="0.25">
      <c r="E92" s="171"/>
      <c r="F92" s="355"/>
      <c r="G92" s="356"/>
      <c r="H92" s="356"/>
      <c r="I92" s="356"/>
      <c r="J92" s="356"/>
      <c r="K92" s="357"/>
      <c r="L92" s="153"/>
      <c r="M92" s="153"/>
      <c r="N92" s="153"/>
      <c r="O92" s="153"/>
      <c r="P92" s="153"/>
      <c r="Q92" s="153"/>
      <c r="R92" s="153"/>
      <c r="S92" s="153"/>
      <c r="T92" s="153"/>
      <c r="V92" s="154"/>
      <c r="W92" s="154"/>
      <c r="X92" s="154"/>
    </row>
    <row r="93" spans="5:24" s="149" customFormat="1" x14ac:dyDescent="0.25">
      <c r="E93" s="171"/>
      <c r="F93" s="355"/>
      <c r="G93" s="356"/>
      <c r="H93" s="356"/>
      <c r="I93" s="356"/>
      <c r="J93" s="356"/>
      <c r="K93" s="357"/>
      <c r="L93" s="153"/>
      <c r="M93" s="153"/>
      <c r="N93" s="153"/>
      <c r="O93" s="153"/>
      <c r="P93" s="153"/>
      <c r="Q93" s="153"/>
      <c r="R93" s="153"/>
      <c r="S93" s="153"/>
      <c r="T93" s="153"/>
      <c r="V93" s="154"/>
      <c r="W93" s="154"/>
      <c r="X93" s="154"/>
    </row>
    <row r="94" spans="5:24" s="149" customFormat="1" x14ac:dyDescent="0.25">
      <c r="E94" s="171"/>
      <c r="F94" s="355"/>
      <c r="G94" s="356"/>
      <c r="H94" s="356"/>
      <c r="I94" s="356"/>
      <c r="J94" s="356"/>
      <c r="K94" s="357"/>
      <c r="L94" s="153"/>
      <c r="M94" s="153"/>
      <c r="N94" s="153"/>
      <c r="O94" s="153"/>
      <c r="P94" s="153"/>
      <c r="Q94" s="153"/>
      <c r="R94" s="153"/>
      <c r="S94" s="153"/>
      <c r="T94" s="153"/>
      <c r="V94" s="154"/>
      <c r="W94" s="154"/>
      <c r="X94" s="154"/>
    </row>
    <row r="95" spans="5:24" s="149" customFormat="1" x14ac:dyDescent="0.25">
      <c r="E95" s="171"/>
      <c r="F95" s="355"/>
      <c r="G95" s="356"/>
      <c r="H95" s="356"/>
      <c r="I95" s="356"/>
      <c r="J95" s="356"/>
      <c r="K95" s="357"/>
      <c r="L95" s="153"/>
      <c r="M95" s="153"/>
      <c r="N95" s="153"/>
      <c r="O95" s="153"/>
      <c r="P95" s="153"/>
      <c r="Q95" s="153"/>
      <c r="R95" s="153"/>
      <c r="S95" s="153"/>
      <c r="T95" s="153"/>
      <c r="V95" s="154"/>
      <c r="W95" s="154"/>
      <c r="X95" s="154"/>
    </row>
    <row r="96" spans="5:24" s="149" customFormat="1" x14ac:dyDescent="0.25">
      <c r="E96" s="171"/>
      <c r="F96" s="355"/>
      <c r="G96" s="356"/>
      <c r="H96" s="356"/>
      <c r="I96" s="356"/>
      <c r="J96" s="356"/>
      <c r="K96" s="357"/>
      <c r="L96" s="153"/>
      <c r="M96" s="153"/>
      <c r="N96" s="153"/>
      <c r="O96" s="153"/>
      <c r="P96" s="153"/>
      <c r="Q96" s="153"/>
      <c r="R96" s="153"/>
      <c r="S96" s="153"/>
      <c r="T96" s="153"/>
      <c r="V96" s="154"/>
      <c r="W96" s="154"/>
      <c r="X96" s="154"/>
    </row>
    <row r="97" spans="5:24" s="149" customFormat="1" x14ac:dyDescent="0.25">
      <c r="E97" s="171"/>
      <c r="F97" s="355"/>
      <c r="G97" s="356"/>
      <c r="H97" s="356"/>
      <c r="I97" s="356"/>
      <c r="J97" s="356"/>
      <c r="K97" s="357"/>
      <c r="L97" s="153"/>
      <c r="M97" s="153"/>
      <c r="N97" s="153"/>
      <c r="O97" s="153"/>
      <c r="P97" s="153"/>
      <c r="Q97" s="153"/>
      <c r="R97" s="153"/>
      <c r="S97" s="153"/>
      <c r="T97" s="153"/>
      <c r="V97" s="154"/>
      <c r="W97" s="154"/>
      <c r="X97" s="154"/>
    </row>
    <row r="98" spans="5:24" s="149" customFormat="1" x14ac:dyDescent="0.25">
      <c r="E98" s="171"/>
      <c r="F98" s="355"/>
      <c r="G98" s="356"/>
      <c r="H98" s="356"/>
      <c r="I98" s="356"/>
      <c r="J98" s="356"/>
      <c r="K98" s="357"/>
      <c r="L98" s="153"/>
      <c r="M98" s="153"/>
      <c r="N98" s="153"/>
      <c r="O98" s="153"/>
      <c r="P98" s="153"/>
      <c r="Q98" s="153"/>
      <c r="R98" s="153"/>
      <c r="S98" s="153"/>
      <c r="T98" s="153"/>
      <c r="V98" s="154"/>
      <c r="W98" s="154"/>
      <c r="X98" s="154"/>
    </row>
    <row r="99" spans="5:24" s="149" customFormat="1" x14ac:dyDescent="0.25">
      <c r="E99" s="171"/>
      <c r="F99" s="355"/>
      <c r="G99" s="356"/>
      <c r="H99" s="356"/>
      <c r="I99" s="356"/>
      <c r="J99" s="356"/>
      <c r="K99" s="357"/>
      <c r="L99" s="153"/>
      <c r="M99" s="153"/>
      <c r="N99" s="153"/>
      <c r="O99" s="153"/>
      <c r="P99" s="153"/>
      <c r="Q99" s="153"/>
      <c r="R99" s="153"/>
      <c r="S99" s="153"/>
      <c r="T99" s="153"/>
      <c r="V99" s="154"/>
      <c r="W99" s="154"/>
      <c r="X99" s="154"/>
    </row>
    <row r="100" spans="5:24" s="149" customFormat="1" x14ac:dyDescent="0.25">
      <c r="E100" s="171"/>
      <c r="F100" s="355"/>
      <c r="G100" s="356"/>
      <c r="H100" s="356"/>
      <c r="I100" s="356"/>
      <c r="J100" s="356"/>
      <c r="K100" s="357"/>
      <c r="L100" s="153"/>
      <c r="M100" s="153"/>
      <c r="N100" s="153"/>
      <c r="O100" s="153"/>
      <c r="P100" s="153"/>
      <c r="Q100" s="153"/>
      <c r="R100" s="153"/>
      <c r="S100" s="153"/>
      <c r="T100" s="153"/>
      <c r="V100" s="154"/>
      <c r="W100" s="154"/>
      <c r="X100" s="154"/>
    </row>
    <row r="101" spans="5:24" s="149" customFormat="1" x14ac:dyDescent="0.25">
      <c r="E101" s="171"/>
      <c r="F101" s="355"/>
      <c r="G101" s="356"/>
      <c r="H101" s="356"/>
      <c r="I101" s="356"/>
      <c r="J101" s="356"/>
      <c r="K101" s="357"/>
      <c r="L101" s="153"/>
      <c r="M101" s="153"/>
      <c r="N101" s="153"/>
      <c r="O101" s="153"/>
      <c r="P101" s="153"/>
      <c r="Q101" s="153"/>
      <c r="R101" s="153"/>
      <c r="S101" s="153"/>
      <c r="T101" s="153"/>
      <c r="V101" s="154"/>
      <c r="W101" s="154"/>
      <c r="X101" s="154"/>
    </row>
    <row r="102" spans="5:24" s="149" customFormat="1" x14ac:dyDescent="0.25">
      <c r="E102" s="171"/>
      <c r="F102" s="355"/>
      <c r="G102" s="356"/>
      <c r="H102" s="356"/>
      <c r="I102" s="356"/>
      <c r="J102" s="356"/>
      <c r="K102" s="357"/>
      <c r="L102" s="153"/>
      <c r="M102" s="153"/>
      <c r="N102" s="153"/>
      <c r="O102" s="153"/>
      <c r="P102" s="153"/>
      <c r="Q102" s="153"/>
      <c r="R102" s="153"/>
      <c r="S102" s="153"/>
      <c r="T102" s="153"/>
      <c r="V102" s="154"/>
      <c r="W102" s="154"/>
      <c r="X102" s="154"/>
    </row>
    <row r="103" spans="5:24" s="149" customFormat="1" x14ac:dyDescent="0.25">
      <c r="E103" s="171"/>
      <c r="F103" s="355"/>
      <c r="G103" s="356"/>
      <c r="H103" s="356"/>
      <c r="I103" s="356"/>
      <c r="J103" s="356"/>
      <c r="K103" s="357"/>
      <c r="L103" s="153"/>
      <c r="M103" s="153"/>
      <c r="N103" s="153"/>
      <c r="O103" s="153"/>
      <c r="P103" s="153"/>
      <c r="Q103" s="153"/>
      <c r="R103" s="153"/>
      <c r="S103" s="153"/>
      <c r="T103" s="153"/>
      <c r="V103" s="154"/>
      <c r="W103" s="154"/>
      <c r="X103" s="154"/>
    </row>
    <row r="104" spans="5:24" s="149" customFormat="1" x14ac:dyDescent="0.25">
      <c r="E104" s="171"/>
      <c r="F104" s="355"/>
      <c r="G104" s="356"/>
      <c r="H104" s="356"/>
      <c r="I104" s="356"/>
      <c r="J104" s="356"/>
      <c r="K104" s="357"/>
      <c r="L104" s="153"/>
      <c r="M104" s="153"/>
      <c r="N104" s="153"/>
      <c r="O104" s="153"/>
      <c r="P104" s="153"/>
      <c r="Q104" s="153"/>
      <c r="R104" s="153"/>
      <c r="S104" s="153"/>
      <c r="T104" s="153"/>
      <c r="V104" s="154"/>
      <c r="W104" s="154"/>
      <c r="X104" s="154"/>
    </row>
    <row r="105" spans="5:24" s="149" customFormat="1" x14ac:dyDescent="0.25">
      <c r="E105" s="171"/>
      <c r="F105" s="355"/>
      <c r="G105" s="356"/>
      <c r="H105" s="356"/>
      <c r="I105" s="356"/>
      <c r="J105" s="356"/>
      <c r="K105" s="357"/>
      <c r="L105" s="153"/>
      <c r="M105" s="153"/>
      <c r="N105" s="153"/>
      <c r="O105" s="153"/>
      <c r="P105" s="153"/>
      <c r="Q105" s="153"/>
      <c r="R105" s="153"/>
      <c r="S105" s="153"/>
      <c r="T105" s="153"/>
      <c r="V105" s="154"/>
      <c r="W105" s="154"/>
      <c r="X105" s="154"/>
    </row>
    <row r="106" spans="5:24" s="149" customFormat="1" x14ac:dyDescent="0.25">
      <c r="E106" s="171"/>
      <c r="F106" s="355"/>
      <c r="G106" s="356"/>
      <c r="H106" s="356"/>
      <c r="I106" s="356"/>
      <c r="J106" s="356"/>
      <c r="K106" s="357"/>
      <c r="L106" s="153"/>
      <c r="M106" s="153"/>
      <c r="N106" s="153"/>
      <c r="O106" s="153"/>
      <c r="P106" s="153"/>
      <c r="Q106" s="153"/>
      <c r="R106" s="153"/>
      <c r="S106" s="153"/>
      <c r="T106" s="153"/>
      <c r="V106" s="154"/>
      <c r="W106" s="154"/>
      <c r="X106" s="154"/>
    </row>
    <row r="107" spans="5:24" s="149" customFormat="1" x14ac:dyDescent="0.25">
      <c r="E107" s="171"/>
      <c r="F107" s="355"/>
      <c r="G107" s="356"/>
      <c r="H107" s="356"/>
      <c r="I107" s="356"/>
      <c r="J107" s="356"/>
      <c r="K107" s="357"/>
      <c r="L107" s="153"/>
      <c r="M107" s="153"/>
      <c r="N107" s="153"/>
      <c r="O107" s="153"/>
      <c r="P107" s="153"/>
      <c r="Q107" s="153"/>
      <c r="R107" s="153"/>
      <c r="S107" s="153"/>
      <c r="T107" s="153"/>
      <c r="V107" s="154"/>
      <c r="W107" s="154"/>
      <c r="X107" s="154"/>
    </row>
    <row r="108" spans="5:24" s="149" customFormat="1" x14ac:dyDescent="0.25">
      <c r="E108" s="171"/>
      <c r="F108" s="355"/>
      <c r="G108" s="356"/>
      <c r="H108" s="356"/>
      <c r="I108" s="356"/>
      <c r="J108" s="356"/>
      <c r="K108" s="357"/>
      <c r="L108" s="153"/>
      <c r="M108" s="153"/>
      <c r="N108" s="153"/>
      <c r="O108" s="153"/>
      <c r="P108" s="153"/>
      <c r="Q108" s="153"/>
      <c r="R108" s="153"/>
      <c r="S108" s="153"/>
      <c r="T108" s="153"/>
      <c r="V108" s="154"/>
      <c r="W108" s="154"/>
      <c r="X108" s="154"/>
    </row>
    <row r="109" spans="5:24" s="149" customFormat="1" x14ac:dyDescent="0.25">
      <c r="E109" s="171"/>
      <c r="F109" s="355"/>
      <c r="G109" s="356"/>
      <c r="H109" s="356"/>
      <c r="I109" s="356"/>
      <c r="J109" s="356"/>
      <c r="K109" s="357"/>
      <c r="L109" s="153"/>
      <c r="M109" s="153"/>
      <c r="N109" s="153"/>
      <c r="O109" s="153"/>
      <c r="P109" s="153"/>
      <c r="Q109" s="153"/>
      <c r="R109" s="153"/>
      <c r="S109" s="153"/>
      <c r="T109" s="153"/>
      <c r="V109" s="154"/>
      <c r="W109" s="154"/>
      <c r="X109" s="154"/>
    </row>
    <row r="110" spans="5:24" s="149" customFormat="1" x14ac:dyDescent="0.25">
      <c r="E110" s="171"/>
      <c r="F110" s="355"/>
      <c r="G110" s="356"/>
      <c r="H110" s="356"/>
      <c r="I110" s="356"/>
      <c r="J110" s="356"/>
      <c r="K110" s="357"/>
      <c r="L110" s="153"/>
      <c r="M110" s="153"/>
      <c r="N110" s="153"/>
      <c r="O110" s="153"/>
      <c r="P110" s="153"/>
      <c r="Q110" s="153"/>
      <c r="R110" s="153"/>
      <c r="S110" s="153"/>
      <c r="T110" s="153"/>
      <c r="V110" s="154"/>
      <c r="W110" s="154"/>
      <c r="X110" s="154"/>
    </row>
    <row r="111" spans="5:24" s="149" customFormat="1" x14ac:dyDescent="0.25">
      <c r="E111" s="171"/>
      <c r="F111" s="355"/>
      <c r="G111" s="356"/>
      <c r="H111" s="356"/>
      <c r="I111" s="356"/>
      <c r="J111" s="356"/>
      <c r="K111" s="357"/>
      <c r="L111" s="153"/>
      <c r="M111" s="153"/>
      <c r="N111" s="153"/>
      <c r="O111" s="153"/>
      <c r="P111" s="153"/>
      <c r="Q111" s="153"/>
      <c r="R111" s="153"/>
      <c r="S111" s="153"/>
      <c r="T111" s="153"/>
      <c r="V111" s="154"/>
      <c r="W111" s="154"/>
      <c r="X111" s="154"/>
    </row>
    <row r="112" spans="5:24" s="149" customFormat="1" x14ac:dyDescent="0.25">
      <c r="E112" s="171"/>
      <c r="F112" s="355"/>
      <c r="G112" s="356"/>
      <c r="H112" s="356"/>
      <c r="I112" s="356"/>
      <c r="J112" s="356"/>
      <c r="K112" s="357"/>
      <c r="L112" s="153"/>
      <c r="M112" s="153"/>
      <c r="N112" s="153"/>
      <c r="O112" s="153"/>
      <c r="P112" s="153"/>
      <c r="Q112" s="153"/>
      <c r="R112" s="153"/>
      <c r="S112" s="153"/>
      <c r="T112" s="153"/>
      <c r="V112" s="154"/>
      <c r="W112" s="154"/>
      <c r="X112" s="154"/>
    </row>
    <row r="113" spans="5:24" s="149" customFormat="1" x14ac:dyDescent="0.25">
      <c r="E113" s="171"/>
      <c r="F113" s="355"/>
      <c r="G113" s="356"/>
      <c r="H113" s="356"/>
      <c r="I113" s="356"/>
      <c r="J113" s="356"/>
      <c r="K113" s="357"/>
      <c r="L113" s="153"/>
      <c r="M113" s="153"/>
      <c r="N113" s="153"/>
      <c r="O113" s="153"/>
      <c r="P113" s="153"/>
      <c r="Q113" s="153"/>
      <c r="R113" s="153"/>
      <c r="S113" s="153"/>
      <c r="T113" s="153"/>
      <c r="V113" s="154"/>
      <c r="W113" s="154"/>
      <c r="X113" s="154"/>
    </row>
    <row r="114" spans="5:24" s="149" customFormat="1" x14ac:dyDescent="0.25">
      <c r="E114" s="171"/>
      <c r="F114" s="355"/>
      <c r="G114" s="356"/>
      <c r="H114" s="356"/>
      <c r="I114" s="356"/>
      <c r="J114" s="356"/>
      <c r="K114" s="357"/>
      <c r="L114" s="153"/>
      <c r="M114" s="153"/>
      <c r="N114" s="153"/>
      <c r="O114" s="153"/>
      <c r="P114" s="153"/>
      <c r="Q114" s="153"/>
      <c r="R114" s="153"/>
      <c r="S114" s="153"/>
      <c r="T114" s="153"/>
      <c r="V114" s="154"/>
      <c r="W114" s="154"/>
      <c r="X114" s="154"/>
    </row>
    <row r="115" spans="5:24" s="149" customFormat="1" x14ac:dyDescent="0.25">
      <c r="E115" s="171"/>
      <c r="F115" s="355"/>
      <c r="G115" s="356"/>
      <c r="H115" s="356"/>
      <c r="I115" s="356"/>
      <c r="J115" s="356"/>
      <c r="K115" s="357"/>
      <c r="L115" s="153"/>
      <c r="M115" s="153"/>
      <c r="N115" s="153"/>
      <c r="O115" s="153"/>
      <c r="P115" s="153"/>
      <c r="Q115" s="153"/>
      <c r="R115" s="153"/>
      <c r="S115" s="153"/>
      <c r="T115" s="153"/>
      <c r="V115" s="154"/>
      <c r="W115" s="154"/>
      <c r="X115" s="154"/>
    </row>
    <row r="116" spans="5:24" s="149" customFormat="1" x14ac:dyDescent="0.25">
      <c r="E116" s="171"/>
      <c r="F116" s="355"/>
      <c r="G116" s="356"/>
      <c r="H116" s="356"/>
      <c r="I116" s="356"/>
      <c r="J116" s="356"/>
      <c r="K116" s="357"/>
      <c r="L116" s="153"/>
      <c r="M116" s="153"/>
      <c r="N116" s="153"/>
      <c r="O116" s="153"/>
      <c r="P116" s="153"/>
      <c r="Q116" s="153"/>
      <c r="R116" s="153"/>
      <c r="S116" s="153"/>
      <c r="T116" s="153"/>
      <c r="V116" s="154"/>
      <c r="W116" s="154"/>
      <c r="X116" s="154"/>
    </row>
    <row r="117" spans="5:24" s="149" customFormat="1" x14ac:dyDescent="0.25">
      <c r="E117" s="171"/>
      <c r="F117" s="355"/>
      <c r="G117" s="356"/>
      <c r="H117" s="356"/>
      <c r="I117" s="356"/>
      <c r="J117" s="356"/>
      <c r="K117" s="357"/>
      <c r="L117" s="153"/>
      <c r="M117" s="153"/>
      <c r="N117" s="153"/>
      <c r="O117" s="153"/>
      <c r="P117" s="153"/>
      <c r="Q117" s="153"/>
      <c r="R117" s="153"/>
      <c r="S117" s="153"/>
      <c r="T117" s="153"/>
      <c r="V117" s="154"/>
      <c r="W117" s="154"/>
      <c r="X117" s="154"/>
    </row>
    <row r="118" spans="5:24" s="149" customFormat="1" x14ac:dyDescent="0.25">
      <c r="E118" s="171"/>
      <c r="F118" s="355"/>
      <c r="G118" s="356"/>
      <c r="H118" s="356"/>
      <c r="I118" s="356"/>
      <c r="J118" s="356"/>
      <c r="K118" s="357"/>
      <c r="L118" s="153"/>
      <c r="M118" s="153"/>
      <c r="N118" s="153"/>
      <c r="O118" s="153"/>
      <c r="P118" s="153"/>
      <c r="Q118" s="153"/>
      <c r="R118" s="153"/>
      <c r="S118" s="153"/>
      <c r="T118" s="153"/>
      <c r="V118" s="154"/>
      <c r="W118" s="154"/>
      <c r="X118" s="154"/>
    </row>
    <row r="119" spans="5:24" s="149" customFormat="1" x14ac:dyDescent="0.25">
      <c r="E119" s="171"/>
      <c r="F119" s="355"/>
      <c r="G119" s="356"/>
      <c r="H119" s="356"/>
      <c r="I119" s="356"/>
      <c r="J119" s="356"/>
      <c r="K119" s="357"/>
      <c r="L119" s="153"/>
      <c r="M119" s="153"/>
      <c r="N119" s="153"/>
      <c r="O119" s="153"/>
      <c r="P119" s="153"/>
      <c r="Q119" s="153"/>
      <c r="R119" s="153"/>
      <c r="S119" s="153"/>
      <c r="T119" s="153"/>
      <c r="V119" s="154"/>
      <c r="W119" s="154"/>
      <c r="X119" s="154"/>
    </row>
    <row r="120" spans="5:24" s="149" customFormat="1" x14ac:dyDescent="0.25">
      <c r="E120" s="171"/>
      <c r="F120" s="355"/>
      <c r="G120" s="356"/>
      <c r="H120" s="356"/>
      <c r="I120" s="356"/>
      <c r="J120" s="356"/>
      <c r="K120" s="357"/>
      <c r="L120" s="153"/>
      <c r="M120" s="153"/>
      <c r="N120" s="153"/>
      <c r="O120" s="153"/>
      <c r="P120" s="153"/>
      <c r="Q120" s="153"/>
      <c r="R120" s="153"/>
      <c r="S120" s="153"/>
      <c r="T120" s="153"/>
      <c r="V120" s="154"/>
      <c r="W120" s="154"/>
      <c r="X120" s="154"/>
    </row>
    <row r="121" spans="5:24" s="149" customFormat="1" x14ac:dyDescent="0.25">
      <c r="E121" s="171"/>
      <c r="F121" s="355"/>
      <c r="G121" s="356"/>
      <c r="H121" s="356"/>
      <c r="I121" s="356"/>
      <c r="J121" s="356"/>
      <c r="K121" s="357"/>
      <c r="L121" s="153"/>
      <c r="M121" s="153"/>
      <c r="N121" s="153"/>
      <c r="O121" s="153"/>
      <c r="P121" s="153"/>
      <c r="Q121" s="153"/>
      <c r="R121" s="153"/>
      <c r="S121" s="153"/>
      <c r="T121" s="153"/>
      <c r="V121" s="154"/>
      <c r="W121" s="154"/>
      <c r="X121" s="154"/>
    </row>
    <row r="122" spans="5:24" s="149" customFormat="1" x14ac:dyDescent="0.25">
      <c r="E122" s="171"/>
      <c r="F122" s="355"/>
      <c r="G122" s="356"/>
      <c r="H122" s="356"/>
      <c r="I122" s="356"/>
      <c r="J122" s="356"/>
      <c r="K122" s="357"/>
      <c r="L122" s="153"/>
      <c r="M122" s="153"/>
      <c r="N122" s="153"/>
      <c r="O122" s="153"/>
      <c r="P122" s="153"/>
      <c r="Q122" s="153"/>
      <c r="R122" s="153"/>
      <c r="S122" s="153"/>
      <c r="T122" s="153"/>
      <c r="V122" s="154"/>
      <c r="W122" s="154"/>
      <c r="X122" s="154"/>
    </row>
    <row r="123" spans="5:24" s="149" customFormat="1" x14ac:dyDescent="0.25">
      <c r="E123" s="171"/>
      <c r="F123" s="355"/>
      <c r="G123" s="356"/>
      <c r="H123" s="356"/>
      <c r="I123" s="356"/>
      <c r="J123" s="356"/>
      <c r="K123" s="357"/>
      <c r="L123" s="153"/>
      <c r="M123" s="153"/>
      <c r="N123" s="153"/>
      <c r="O123" s="153"/>
      <c r="P123" s="153"/>
      <c r="Q123" s="153"/>
      <c r="R123" s="153"/>
      <c r="S123" s="153"/>
      <c r="T123" s="153"/>
      <c r="V123" s="154"/>
      <c r="W123" s="154"/>
      <c r="X123" s="154"/>
    </row>
    <row r="124" spans="5:24" s="149" customFormat="1" x14ac:dyDescent="0.25">
      <c r="E124" s="171"/>
      <c r="F124" s="355"/>
      <c r="G124" s="356"/>
      <c r="H124" s="356"/>
      <c r="I124" s="356"/>
      <c r="J124" s="356"/>
      <c r="K124" s="357"/>
      <c r="L124" s="153"/>
      <c r="M124" s="153"/>
      <c r="N124" s="153"/>
      <c r="O124" s="153"/>
      <c r="P124" s="153"/>
      <c r="Q124" s="153"/>
      <c r="R124" s="153"/>
      <c r="S124" s="153"/>
      <c r="T124" s="153"/>
      <c r="V124" s="154"/>
      <c r="W124" s="154"/>
      <c r="X124" s="154"/>
    </row>
    <row r="125" spans="5:24" s="149" customFormat="1" x14ac:dyDescent="0.25">
      <c r="E125" s="171"/>
      <c r="F125" s="355"/>
      <c r="G125" s="356"/>
      <c r="H125" s="356"/>
      <c r="I125" s="356"/>
      <c r="J125" s="356"/>
      <c r="K125" s="357"/>
      <c r="L125" s="153"/>
      <c r="M125" s="153"/>
      <c r="N125" s="153"/>
      <c r="O125" s="153"/>
      <c r="P125" s="153"/>
      <c r="Q125" s="153"/>
      <c r="R125" s="153"/>
      <c r="S125" s="153"/>
      <c r="T125" s="153"/>
      <c r="V125" s="154"/>
      <c r="W125" s="154"/>
      <c r="X125" s="154"/>
    </row>
    <row r="126" spans="5:24" s="149" customFormat="1" x14ac:dyDescent="0.25">
      <c r="E126" s="171"/>
      <c r="F126" s="355"/>
      <c r="G126" s="356"/>
      <c r="H126" s="356"/>
      <c r="I126" s="356"/>
      <c r="J126" s="356"/>
      <c r="K126" s="357"/>
      <c r="L126" s="153"/>
      <c r="M126" s="153"/>
      <c r="N126" s="153"/>
      <c r="O126" s="153"/>
      <c r="P126" s="153"/>
      <c r="Q126" s="153"/>
      <c r="R126" s="153"/>
      <c r="S126" s="153"/>
      <c r="T126" s="153"/>
      <c r="V126" s="154"/>
      <c r="W126" s="154"/>
      <c r="X126" s="154"/>
    </row>
    <row r="127" spans="5:24" s="149" customFormat="1" x14ac:dyDescent="0.25">
      <c r="E127" s="171"/>
      <c r="F127" s="355"/>
      <c r="G127" s="356"/>
      <c r="H127" s="356"/>
      <c r="I127" s="356"/>
      <c r="J127" s="356"/>
      <c r="K127" s="357"/>
      <c r="L127" s="153"/>
      <c r="M127" s="153"/>
      <c r="N127" s="153"/>
      <c r="O127" s="153"/>
      <c r="P127" s="153"/>
      <c r="Q127" s="153"/>
      <c r="R127" s="153"/>
      <c r="S127" s="153"/>
      <c r="T127" s="153"/>
      <c r="V127" s="154"/>
      <c r="W127" s="154"/>
      <c r="X127" s="154"/>
    </row>
    <row r="128" spans="5:24" s="149" customFormat="1" x14ac:dyDescent="0.25">
      <c r="E128" s="171"/>
      <c r="F128" s="355"/>
      <c r="G128" s="356"/>
      <c r="H128" s="356"/>
      <c r="I128" s="356"/>
      <c r="J128" s="356"/>
      <c r="K128" s="357"/>
      <c r="L128" s="153"/>
      <c r="M128" s="153"/>
      <c r="N128" s="153"/>
      <c r="O128" s="153"/>
      <c r="P128" s="153"/>
      <c r="Q128" s="153"/>
      <c r="R128" s="153"/>
      <c r="S128" s="153"/>
      <c r="T128" s="153"/>
      <c r="V128" s="154"/>
      <c r="W128" s="154"/>
      <c r="X128" s="154"/>
    </row>
    <row r="129" spans="5:24" s="149" customFormat="1" x14ac:dyDescent="0.25">
      <c r="E129" s="171"/>
      <c r="F129" s="355"/>
      <c r="G129" s="356"/>
      <c r="H129" s="356"/>
      <c r="I129" s="356"/>
      <c r="J129" s="356"/>
      <c r="K129" s="357"/>
      <c r="L129" s="153"/>
      <c r="M129" s="153"/>
      <c r="N129" s="153"/>
      <c r="O129" s="153"/>
      <c r="P129" s="153"/>
      <c r="Q129" s="153"/>
      <c r="R129" s="153"/>
      <c r="S129" s="153"/>
      <c r="T129" s="153"/>
      <c r="V129" s="154"/>
      <c r="W129" s="154"/>
      <c r="X129" s="154"/>
    </row>
    <row r="130" spans="5:24" s="149" customFormat="1" x14ac:dyDescent="0.25">
      <c r="E130" s="171"/>
      <c r="F130" s="355"/>
      <c r="G130" s="356"/>
      <c r="H130" s="356"/>
      <c r="I130" s="356"/>
      <c r="J130" s="356"/>
      <c r="K130" s="357"/>
      <c r="L130" s="153"/>
      <c r="M130" s="153"/>
      <c r="N130" s="153"/>
      <c r="O130" s="153"/>
      <c r="P130" s="153"/>
      <c r="Q130" s="153"/>
      <c r="R130" s="153"/>
      <c r="S130" s="153"/>
      <c r="T130" s="153"/>
      <c r="V130" s="154"/>
      <c r="W130" s="154"/>
      <c r="X130" s="154"/>
    </row>
    <row r="131" spans="5:24" s="149" customFormat="1" x14ac:dyDescent="0.25">
      <c r="E131" s="171"/>
      <c r="F131" s="355"/>
      <c r="G131" s="356"/>
      <c r="H131" s="356"/>
      <c r="I131" s="356"/>
      <c r="J131" s="356"/>
      <c r="K131" s="357"/>
      <c r="L131" s="153"/>
      <c r="M131" s="153"/>
      <c r="N131" s="153"/>
      <c r="O131" s="153"/>
      <c r="P131" s="153"/>
      <c r="Q131" s="153"/>
      <c r="R131" s="153"/>
      <c r="S131" s="153"/>
      <c r="T131" s="153"/>
      <c r="V131" s="154"/>
      <c r="W131" s="154"/>
      <c r="X131" s="154"/>
    </row>
    <row r="132" spans="5:24" s="149" customFormat="1" x14ac:dyDescent="0.25">
      <c r="E132" s="171"/>
      <c r="F132" s="355"/>
      <c r="G132" s="356"/>
      <c r="H132" s="356"/>
      <c r="I132" s="356"/>
      <c r="J132" s="356"/>
      <c r="K132" s="357"/>
      <c r="L132" s="153"/>
      <c r="M132" s="153"/>
      <c r="N132" s="153"/>
      <c r="O132" s="153"/>
      <c r="P132" s="153"/>
      <c r="Q132" s="153"/>
      <c r="R132" s="153"/>
      <c r="S132" s="153"/>
      <c r="T132" s="153"/>
      <c r="V132" s="154"/>
      <c r="W132" s="154"/>
      <c r="X132" s="154"/>
    </row>
    <row r="133" spans="5:24" s="149" customFormat="1" x14ac:dyDescent="0.25">
      <c r="E133" s="171"/>
      <c r="F133" s="355"/>
      <c r="G133" s="356"/>
      <c r="H133" s="356"/>
      <c r="I133" s="356"/>
      <c r="J133" s="356"/>
      <c r="K133" s="357"/>
      <c r="L133" s="153"/>
      <c r="M133" s="153"/>
      <c r="N133" s="153"/>
      <c r="O133" s="153"/>
      <c r="P133" s="153"/>
      <c r="Q133" s="153"/>
      <c r="R133" s="153"/>
      <c r="S133" s="153"/>
      <c r="T133" s="153"/>
      <c r="V133" s="154"/>
      <c r="W133" s="154"/>
      <c r="X133" s="154"/>
    </row>
    <row r="134" spans="5:24" s="149" customFormat="1" x14ac:dyDescent="0.25">
      <c r="E134" s="171"/>
      <c r="F134" s="355"/>
      <c r="G134" s="356"/>
      <c r="H134" s="356"/>
      <c r="I134" s="356"/>
      <c r="J134" s="356"/>
      <c r="K134" s="357"/>
      <c r="L134" s="153"/>
      <c r="M134" s="153"/>
      <c r="N134" s="153"/>
      <c r="O134" s="153"/>
      <c r="P134" s="153"/>
      <c r="Q134" s="153"/>
      <c r="R134" s="153"/>
      <c r="S134" s="153"/>
      <c r="T134" s="153"/>
      <c r="V134" s="154"/>
      <c r="W134" s="154"/>
      <c r="X134" s="154"/>
    </row>
    <row r="135" spans="5:24" s="149" customFormat="1" x14ac:dyDescent="0.25">
      <c r="E135" s="171"/>
      <c r="F135" s="355"/>
      <c r="G135" s="356"/>
      <c r="H135" s="356"/>
      <c r="I135" s="356"/>
      <c r="J135" s="356"/>
      <c r="K135" s="357"/>
      <c r="L135" s="153"/>
      <c r="M135" s="153"/>
      <c r="N135" s="153"/>
      <c r="O135" s="153"/>
      <c r="P135" s="153"/>
      <c r="Q135" s="153"/>
      <c r="R135" s="153"/>
      <c r="S135" s="153"/>
      <c r="T135" s="153"/>
      <c r="V135" s="154"/>
      <c r="W135" s="154"/>
      <c r="X135" s="154"/>
    </row>
    <row r="136" spans="5:24" s="149" customFormat="1" x14ac:dyDescent="0.25">
      <c r="E136" s="171"/>
      <c r="F136" s="355"/>
      <c r="G136" s="356"/>
      <c r="H136" s="356"/>
      <c r="I136" s="356"/>
      <c r="J136" s="356"/>
      <c r="K136" s="357"/>
      <c r="L136" s="153"/>
      <c r="M136" s="153"/>
      <c r="N136" s="153"/>
      <c r="O136" s="153"/>
      <c r="P136" s="153"/>
      <c r="Q136" s="153"/>
      <c r="R136" s="153"/>
      <c r="S136" s="153"/>
      <c r="T136" s="153"/>
      <c r="V136" s="154"/>
      <c r="W136" s="154"/>
      <c r="X136" s="154"/>
    </row>
    <row r="137" spans="5:24" s="149" customFormat="1" x14ac:dyDescent="0.25">
      <c r="E137" s="171"/>
      <c r="F137" s="355"/>
      <c r="G137" s="356"/>
      <c r="H137" s="356"/>
      <c r="I137" s="356"/>
      <c r="J137" s="356"/>
      <c r="K137" s="357"/>
      <c r="L137" s="153"/>
      <c r="M137" s="153"/>
      <c r="N137" s="153"/>
      <c r="O137" s="153"/>
      <c r="P137" s="153"/>
      <c r="Q137" s="153"/>
      <c r="R137" s="153"/>
      <c r="S137" s="153"/>
      <c r="T137" s="153"/>
      <c r="V137" s="154"/>
      <c r="W137" s="154"/>
      <c r="X137" s="154"/>
    </row>
    <row r="138" spans="5:24" s="149" customFormat="1" x14ac:dyDescent="0.25">
      <c r="E138" s="171"/>
      <c r="F138" s="355"/>
      <c r="G138" s="356"/>
      <c r="H138" s="356"/>
      <c r="I138" s="356"/>
      <c r="J138" s="356"/>
      <c r="K138" s="357"/>
      <c r="L138" s="153"/>
      <c r="M138" s="153"/>
      <c r="N138" s="153"/>
      <c r="O138" s="153"/>
      <c r="P138" s="153"/>
      <c r="Q138" s="153"/>
      <c r="R138" s="153"/>
      <c r="S138" s="153"/>
      <c r="T138" s="153"/>
      <c r="V138" s="154"/>
      <c r="W138" s="154"/>
      <c r="X138" s="154"/>
    </row>
    <row r="139" spans="5:24" s="149" customFormat="1" x14ac:dyDescent="0.25">
      <c r="E139" s="171"/>
      <c r="F139" s="355"/>
      <c r="G139" s="356"/>
      <c r="H139" s="356"/>
      <c r="I139" s="356"/>
      <c r="J139" s="356"/>
      <c r="K139" s="357"/>
      <c r="L139" s="153"/>
      <c r="M139" s="153"/>
      <c r="N139" s="153"/>
      <c r="O139" s="153"/>
      <c r="P139" s="153"/>
      <c r="Q139" s="153"/>
      <c r="R139" s="153"/>
      <c r="S139" s="153"/>
      <c r="T139" s="153"/>
      <c r="V139" s="154"/>
      <c r="W139" s="154"/>
      <c r="X139" s="154"/>
    </row>
    <row r="140" spans="5:24" s="149" customFormat="1" x14ac:dyDescent="0.25">
      <c r="E140" s="171"/>
      <c r="F140" s="355"/>
      <c r="G140" s="356"/>
      <c r="H140" s="356"/>
      <c r="I140" s="356"/>
      <c r="J140" s="356"/>
      <c r="K140" s="357"/>
      <c r="L140" s="153"/>
      <c r="M140" s="153"/>
      <c r="N140" s="153"/>
      <c r="O140" s="153"/>
      <c r="P140" s="153"/>
      <c r="Q140" s="153"/>
      <c r="R140" s="153"/>
      <c r="S140" s="153"/>
      <c r="T140" s="153"/>
      <c r="V140" s="154"/>
      <c r="W140" s="154"/>
      <c r="X140" s="154"/>
    </row>
    <row r="141" spans="5:24" s="149" customFormat="1" x14ac:dyDescent="0.25">
      <c r="E141" s="171"/>
      <c r="F141" s="355"/>
      <c r="G141" s="356"/>
      <c r="H141" s="356"/>
      <c r="I141" s="356"/>
      <c r="J141" s="356"/>
      <c r="K141" s="357"/>
      <c r="L141" s="153"/>
      <c r="M141" s="153"/>
      <c r="N141" s="153"/>
      <c r="O141" s="153"/>
      <c r="P141" s="153"/>
      <c r="Q141" s="153"/>
      <c r="R141" s="153"/>
      <c r="S141" s="153"/>
      <c r="T141" s="153"/>
      <c r="V141" s="154"/>
      <c r="W141" s="154"/>
      <c r="X141" s="154"/>
    </row>
    <row r="142" spans="5:24" s="149" customFormat="1" x14ac:dyDescent="0.25">
      <c r="E142" s="171"/>
      <c r="F142" s="355"/>
      <c r="G142" s="356"/>
      <c r="H142" s="356"/>
      <c r="I142" s="356"/>
      <c r="J142" s="356"/>
      <c r="K142" s="357"/>
      <c r="L142" s="153"/>
      <c r="M142" s="153"/>
      <c r="N142" s="153"/>
      <c r="O142" s="153"/>
      <c r="P142" s="153"/>
      <c r="Q142" s="153"/>
      <c r="R142" s="153"/>
      <c r="S142" s="153"/>
      <c r="T142" s="153"/>
      <c r="V142" s="154"/>
      <c r="W142" s="154"/>
      <c r="X142" s="154"/>
    </row>
    <row r="143" spans="5:24" s="149" customFormat="1" x14ac:dyDescent="0.25">
      <c r="E143" s="171"/>
      <c r="F143" s="355"/>
      <c r="G143" s="356"/>
      <c r="H143" s="356"/>
      <c r="I143" s="356"/>
      <c r="J143" s="356"/>
      <c r="K143" s="357"/>
      <c r="L143" s="153"/>
      <c r="M143" s="153"/>
      <c r="N143" s="153"/>
      <c r="O143" s="153"/>
      <c r="P143" s="153"/>
      <c r="Q143" s="153"/>
      <c r="R143" s="153"/>
      <c r="S143" s="153"/>
      <c r="T143" s="153"/>
      <c r="V143" s="154"/>
      <c r="W143" s="154"/>
      <c r="X143" s="154"/>
    </row>
    <row r="144" spans="5:24" s="149" customFormat="1" x14ac:dyDescent="0.25">
      <c r="E144" s="171"/>
      <c r="F144" s="355"/>
      <c r="G144" s="356"/>
      <c r="H144" s="356"/>
      <c r="I144" s="356"/>
      <c r="J144" s="356"/>
      <c r="K144" s="357"/>
      <c r="L144" s="153"/>
      <c r="M144" s="153"/>
      <c r="N144" s="153"/>
      <c r="O144" s="153"/>
      <c r="P144" s="153"/>
      <c r="Q144" s="153"/>
      <c r="R144" s="153"/>
      <c r="S144" s="153"/>
      <c r="T144" s="153"/>
      <c r="V144" s="154"/>
      <c r="W144" s="154"/>
      <c r="X144" s="154"/>
    </row>
    <row r="145" spans="5:24" s="149" customFormat="1" x14ac:dyDescent="0.25">
      <c r="E145" s="171"/>
      <c r="F145" s="355"/>
      <c r="G145" s="356"/>
      <c r="H145" s="356"/>
      <c r="I145" s="356"/>
      <c r="J145" s="356"/>
      <c r="K145" s="357"/>
      <c r="L145" s="153"/>
      <c r="M145" s="153"/>
      <c r="N145" s="153"/>
      <c r="O145" s="153"/>
      <c r="P145" s="153"/>
      <c r="Q145" s="153"/>
      <c r="R145" s="153"/>
      <c r="S145" s="153"/>
      <c r="T145" s="153"/>
      <c r="V145" s="154"/>
      <c r="W145" s="154"/>
      <c r="X145" s="154"/>
    </row>
    <row r="146" spans="5:24" s="149" customFormat="1" x14ac:dyDescent="0.25">
      <c r="E146" s="171"/>
      <c r="F146" s="355"/>
      <c r="G146" s="356"/>
      <c r="H146" s="356"/>
      <c r="I146" s="356"/>
      <c r="J146" s="356"/>
      <c r="K146" s="357"/>
      <c r="L146" s="153"/>
      <c r="M146" s="153"/>
      <c r="N146" s="153"/>
      <c r="O146" s="153"/>
      <c r="P146" s="153"/>
      <c r="Q146" s="153"/>
      <c r="R146" s="153"/>
      <c r="S146" s="153"/>
      <c r="T146" s="153"/>
      <c r="V146" s="154"/>
      <c r="W146" s="154"/>
      <c r="X146" s="154"/>
    </row>
    <row r="147" spans="5:24" s="149" customFormat="1" x14ac:dyDescent="0.25">
      <c r="E147" s="171"/>
      <c r="F147" s="355"/>
      <c r="G147" s="356"/>
      <c r="H147" s="356"/>
      <c r="I147" s="356"/>
      <c r="J147" s="356"/>
      <c r="K147" s="357"/>
      <c r="L147" s="153"/>
      <c r="M147" s="153"/>
      <c r="N147" s="153"/>
      <c r="O147" s="153"/>
      <c r="P147" s="153"/>
      <c r="Q147" s="153"/>
      <c r="R147" s="153"/>
      <c r="S147" s="153"/>
      <c r="T147" s="153"/>
      <c r="V147" s="154"/>
      <c r="W147" s="154"/>
      <c r="X147" s="154"/>
    </row>
    <row r="148" spans="5:24" s="149" customFormat="1" x14ac:dyDescent="0.25">
      <c r="E148" s="171"/>
      <c r="F148" s="355"/>
      <c r="G148" s="356"/>
      <c r="H148" s="356"/>
      <c r="I148" s="356"/>
      <c r="J148" s="356"/>
      <c r="K148" s="357"/>
      <c r="L148" s="153"/>
      <c r="M148" s="153"/>
      <c r="N148" s="153"/>
      <c r="O148" s="153"/>
      <c r="P148" s="153"/>
      <c r="Q148" s="153"/>
      <c r="R148" s="153"/>
      <c r="S148" s="153"/>
      <c r="T148" s="153"/>
      <c r="V148" s="154"/>
      <c r="W148" s="154"/>
      <c r="X148" s="154"/>
    </row>
    <row r="149" spans="5:24" s="149" customFormat="1" x14ac:dyDescent="0.25">
      <c r="E149" s="171"/>
      <c r="F149" s="355"/>
      <c r="G149" s="356"/>
      <c r="H149" s="356"/>
      <c r="I149" s="356"/>
      <c r="J149" s="356"/>
      <c r="K149" s="357"/>
      <c r="L149" s="153"/>
      <c r="M149" s="153"/>
      <c r="N149" s="153"/>
      <c r="O149" s="153"/>
      <c r="P149" s="153"/>
      <c r="Q149" s="153"/>
      <c r="R149" s="153"/>
      <c r="S149" s="153"/>
      <c r="T149" s="153"/>
      <c r="V149" s="154"/>
      <c r="W149" s="154"/>
      <c r="X149" s="154"/>
    </row>
    <row r="150" spans="5:24" s="149" customFormat="1" x14ac:dyDescent="0.25">
      <c r="E150" s="171"/>
      <c r="F150" s="355"/>
      <c r="G150" s="356"/>
      <c r="H150" s="356"/>
      <c r="I150" s="356"/>
      <c r="J150" s="356"/>
      <c r="K150" s="357"/>
      <c r="L150" s="153"/>
      <c r="M150" s="153"/>
      <c r="N150" s="153"/>
      <c r="O150" s="153"/>
      <c r="P150" s="153"/>
      <c r="Q150" s="153"/>
      <c r="R150" s="153"/>
      <c r="S150" s="153"/>
      <c r="T150" s="153"/>
      <c r="V150" s="154"/>
      <c r="W150" s="154"/>
      <c r="X150" s="154"/>
    </row>
    <row r="151" spans="5:24" s="149" customFormat="1" x14ac:dyDescent="0.25">
      <c r="E151" s="171"/>
      <c r="F151" s="355"/>
      <c r="G151" s="356"/>
      <c r="H151" s="356"/>
      <c r="I151" s="356"/>
      <c r="J151" s="356"/>
      <c r="K151" s="357"/>
      <c r="L151" s="153"/>
      <c r="M151" s="153"/>
      <c r="N151" s="153"/>
      <c r="O151" s="153"/>
      <c r="P151" s="153"/>
      <c r="Q151" s="153"/>
      <c r="R151" s="153"/>
      <c r="S151" s="153"/>
      <c r="T151" s="153"/>
      <c r="V151" s="154"/>
      <c r="W151" s="154"/>
      <c r="X151" s="154"/>
    </row>
    <row r="152" spans="5:24" s="149" customFormat="1" x14ac:dyDescent="0.25">
      <c r="E152" s="171"/>
      <c r="F152" s="355"/>
      <c r="G152" s="356"/>
      <c r="H152" s="356"/>
      <c r="I152" s="356"/>
      <c r="J152" s="356"/>
      <c r="K152" s="357"/>
      <c r="L152" s="153"/>
      <c r="M152" s="153"/>
      <c r="N152" s="153"/>
      <c r="O152" s="153"/>
      <c r="P152" s="153"/>
      <c r="Q152" s="153"/>
      <c r="R152" s="153"/>
      <c r="S152" s="153"/>
      <c r="T152" s="153"/>
      <c r="V152" s="154"/>
      <c r="W152" s="154"/>
      <c r="X152" s="154"/>
    </row>
    <row r="153" spans="5:24" s="149" customFormat="1" x14ac:dyDescent="0.25">
      <c r="E153" s="171"/>
      <c r="F153" s="355"/>
      <c r="G153" s="356"/>
      <c r="H153" s="356"/>
      <c r="I153" s="356"/>
      <c r="J153" s="356"/>
      <c r="K153" s="357"/>
      <c r="L153" s="153"/>
      <c r="M153" s="153"/>
      <c r="N153" s="153"/>
      <c r="O153" s="153"/>
      <c r="P153" s="153"/>
      <c r="Q153" s="153"/>
      <c r="R153" s="153"/>
      <c r="S153" s="153"/>
      <c r="T153" s="153"/>
      <c r="V153" s="154"/>
      <c r="W153" s="154"/>
      <c r="X153" s="154"/>
    </row>
    <row r="154" spans="5:24" s="149" customFormat="1" x14ac:dyDescent="0.25">
      <c r="E154" s="171"/>
      <c r="F154" s="355"/>
      <c r="G154" s="356"/>
      <c r="H154" s="356"/>
      <c r="I154" s="356"/>
      <c r="J154" s="356"/>
      <c r="K154" s="357"/>
      <c r="L154" s="153"/>
      <c r="M154" s="153"/>
      <c r="N154" s="153"/>
      <c r="O154" s="153"/>
      <c r="P154" s="153"/>
      <c r="Q154" s="153"/>
      <c r="R154" s="153"/>
      <c r="S154" s="153"/>
      <c r="T154" s="153"/>
      <c r="V154" s="154"/>
      <c r="W154" s="154"/>
      <c r="X154" s="154"/>
    </row>
    <row r="155" spans="5:24" s="149" customFormat="1" x14ac:dyDescent="0.25">
      <c r="E155" s="171"/>
      <c r="F155" s="355"/>
      <c r="G155" s="356"/>
      <c r="H155" s="356"/>
      <c r="I155" s="356"/>
      <c r="J155" s="356"/>
      <c r="K155" s="357"/>
      <c r="L155" s="153"/>
      <c r="M155" s="153"/>
      <c r="N155" s="153"/>
      <c r="O155" s="153"/>
      <c r="P155" s="153"/>
      <c r="Q155" s="153"/>
      <c r="R155" s="153"/>
      <c r="S155" s="153"/>
      <c r="T155" s="153"/>
      <c r="V155" s="154"/>
      <c r="W155" s="154"/>
      <c r="X155" s="154"/>
    </row>
    <row r="156" spans="5:24" s="149" customFormat="1" x14ac:dyDescent="0.25">
      <c r="E156" s="171"/>
      <c r="F156" s="355"/>
      <c r="G156" s="356"/>
      <c r="H156" s="356"/>
      <c r="I156" s="356"/>
      <c r="J156" s="356"/>
      <c r="K156" s="357"/>
      <c r="L156" s="153"/>
      <c r="M156" s="153"/>
      <c r="N156" s="153"/>
      <c r="O156" s="153"/>
      <c r="P156" s="153"/>
      <c r="Q156" s="153"/>
      <c r="R156" s="153"/>
      <c r="S156" s="153"/>
      <c r="T156" s="153"/>
      <c r="V156" s="154"/>
      <c r="W156" s="154"/>
      <c r="X156" s="154"/>
    </row>
    <row r="157" spans="5:24" s="149" customFormat="1" x14ac:dyDescent="0.25">
      <c r="E157" s="171"/>
      <c r="F157" s="355"/>
      <c r="G157" s="356"/>
      <c r="H157" s="356"/>
      <c r="I157" s="356"/>
      <c r="J157" s="356"/>
      <c r="K157" s="357"/>
      <c r="L157" s="153"/>
      <c r="M157" s="153"/>
      <c r="N157" s="153"/>
      <c r="O157" s="153"/>
      <c r="P157" s="153"/>
      <c r="Q157" s="153"/>
      <c r="R157" s="153"/>
      <c r="S157" s="153"/>
      <c r="T157" s="153"/>
      <c r="V157" s="154"/>
      <c r="W157" s="154"/>
      <c r="X157" s="154"/>
    </row>
    <row r="158" spans="5:24" s="149" customFormat="1" x14ac:dyDescent="0.25">
      <c r="E158" s="171"/>
      <c r="F158" s="355"/>
      <c r="G158" s="356"/>
      <c r="H158" s="356"/>
      <c r="I158" s="356"/>
      <c r="J158" s="356"/>
      <c r="K158" s="357"/>
      <c r="L158" s="153"/>
      <c r="M158" s="153"/>
      <c r="N158" s="153"/>
      <c r="O158" s="153"/>
      <c r="P158" s="153"/>
      <c r="Q158" s="153"/>
      <c r="R158" s="153"/>
      <c r="S158" s="153"/>
      <c r="T158" s="153"/>
      <c r="V158" s="154"/>
      <c r="W158" s="154"/>
      <c r="X158" s="154"/>
    </row>
    <row r="159" spans="5:24" s="149" customFormat="1" x14ac:dyDescent="0.25">
      <c r="E159" s="171"/>
      <c r="F159" s="355"/>
      <c r="G159" s="356"/>
      <c r="H159" s="356"/>
      <c r="I159" s="356"/>
      <c r="J159" s="356"/>
      <c r="K159" s="357"/>
      <c r="L159" s="153"/>
      <c r="M159" s="153"/>
      <c r="N159" s="153"/>
      <c r="O159" s="153"/>
      <c r="P159" s="153"/>
      <c r="Q159" s="153"/>
      <c r="R159" s="153"/>
      <c r="S159" s="153"/>
      <c r="T159" s="153"/>
      <c r="V159" s="154"/>
      <c r="W159" s="154"/>
      <c r="X159" s="154"/>
    </row>
    <row r="160" spans="5:24" s="149" customFormat="1" x14ac:dyDescent="0.25">
      <c r="E160" s="171"/>
      <c r="F160" s="355"/>
      <c r="G160" s="356"/>
      <c r="H160" s="356"/>
      <c r="I160" s="356"/>
      <c r="J160" s="356"/>
      <c r="K160" s="357"/>
      <c r="L160" s="153"/>
      <c r="M160" s="153"/>
      <c r="N160" s="153"/>
      <c r="O160" s="153"/>
      <c r="P160" s="153"/>
      <c r="Q160" s="153"/>
      <c r="R160" s="153"/>
      <c r="S160" s="153"/>
      <c r="T160" s="153"/>
      <c r="V160" s="154"/>
      <c r="W160" s="154"/>
      <c r="X160" s="154"/>
    </row>
    <row r="161" spans="5:24" s="149" customFormat="1" x14ac:dyDescent="0.25">
      <c r="E161" s="171"/>
      <c r="F161" s="355"/>
      <c r="G161" s="356"/>
      <c r="H161" s="356"/>
      <c r="I161" s="356"/>
      <c r="J161" s="356"/>
      <c r="K161" s="357"/>
      <c r="L161" s="153"/>
      <c r="M161" s="153"/>
      <c r="N161" s="153"/>
      <c r="O161" s="153"/>
      <c r="P161" s="153"/>
      <c r="Q161" s="153"/>
      <c r="R161" s="153"/>
      <c r="S161" s="153"/>
      <c r="T161" s="153"/>
      <c r="V161" s="154"/>
      <c r="W161" s="154"/>
      <c r="X161" s="154"/>
    </row>
    <row r="162" spans="5:24" s="149" customFormat="1" x14ac:dyDescent="0.25">
      <c r="E162" s="171"/>
      <c r="F162" s="355"/>
      <c r="G162" s="356"/>
      <c r="H162" s="356"/>
      <c r="I162" s="356"/>
      <c r="J162" s="356"/>
      <c r="K162" s="357"/>
      <c r="L162" s="153"/>
      <c r="M162" s="153"/>
      <c r="N162" s="153"/>
      <c r="O162" s="153"/>
      <c r="P162" s="153"/>
      <c r="Q162" s="153"/>
      <c r="R162" s="153"/>
      <c r="S162" s="153"/>
      <c r="T162" s="153"/>
      <c r="V162" s="154"/>
      <c r="W162" s="154"/>
      <c r="X162" s="154"/>
    </row>
    <row r="163" spans="5:24" s="149" customFormat="1" x14ac:dyDescent="0.25">
      <c r="E163" s="171"/>
      <c r="F163" s="355"/>
      <c r="G163" s="356"/>
      <c r="H163" s="356"/>
      <c r="I163" s="356"/>
      <c r="J163" s="356"/>
      <c r="K163" s="357"/>
      <c r="L163" s="153"/>
      <c r="M163" s="153"/>
      <c r="N163" s="153"/>
      <c r="O163" s="153"/>
      <c r="P163" s="153"/>
      <c r="Q163" s="153"/>
      <c r="R163" s="153"/>
      <c r="S163" s="153"/>
      <c r="T163" s="153"/>
      <c r="V163" s="154"/>
      <c r="W163" s="154"/>
      <c r="X163" s="154"/>
    </row>
    <row r="164" spans="5:24" s="149" customFormat="1" x14ac:dyDescent="0.25">
      <c r="E164" s="171"/>
      <c r="F164" s="355"/>
      <c r="G164" s="356"/>
      <c r="H164" s="356"/>
      <c r="I164" s="356"/>
      <c r="J164" s="356"/>
      <c r="K164" s="357"/>
      <c r="L164" s="153"/>
      <c r="M164" s="153"/>
      <c r="N164" s="153"/>
      <c r="O164" s="153"/>
      <c r="P164" s="153"/>
      <c r="Q164" s="153"/>
      <c r="R164" s="153"/>
      <c r="S164" s="153"/>
      <c r="T164" s="153"/>
      <c r="V164" s="154"/>
      <c r="W164" s="154"/>
      <c r="X164" s="154"/>
    </row>
    <row r="165" spans="5:24" s="149" customFormat="1" x14ac:dyDescent="0.25">
      <c r="E165" s="171"/>
      <c r="F165" s="355"/>
      <c r="G165" s="356"/>
      <c r="H165" s="356"/>
      <c r="I165" s="356"/>
      <c r="J165" s="356"/>
      <c r="K165" s="357"/>
      <c r="L165" s="153"/>
      <c r="M165" s="153"/>
      <c r="N165" s="153"/>
      <c r="O165" s="153"/>
      <c r="P165" s="153"/>
      <c r="Q165" s="153"/>
      <c r="R165" s="153"/>
      <c r="S165" s="153"/>
      <c r="T165" s="153"/>
      <c r="V165" s="154"/>
      <c r="W165" s="154"/>
      <c r="X165" s="154"/>
    </row>
    <row r="166" spans="5:24" s="149" customFormat="1" x14ac:dyDescent="0.25">
      <c r="E166" s="171"/>
      <c r="F166" s="355"/>
      <c r="G166" s="356"/>
      <c r="H166" s="356"/>
      <c r="I166" s="356"/>
      <c r="J166" s="356"/>
      <c r="K166" s="357"/>
      <c r="L166" s="153"/>
      <c r="M166" s="153"/>
      <c r="N166" s="153"/>
      <c r="O166" s="153"/>
      <c r="P166" s="153"/>
      <c r="Q166" s="153"/>
      <c r="R166" s="153"/>
      <c r="S166" s="153"/>
      <c r="T166" s="153"/>
      <c r="V166" s="154"/>
      <c r="W166" s="154"/>
      <c r="X166" s="154"/>
    </row>
    <row r="167" spans="5:24" s="149" customFormat="1" x14ac:dyDescent="0.25">
      <c r="E167" s="171"/>
      <c r="F167" s="355"/>
      <c r="G167" s="356"/>
      <c r="H167" s="356"/>
      <c r="I167" s="356"/>
      <c r="J167" s="356"/>
      <c r="K167" s="357"/>
      <c r="L167" s="153"/>
      <c r="M167" s="153"/>
      <c r="N167" s="153"/>
      <c r="O167" s="153"/>
      <c r="P167" s="153"/>
      <c r="Q167" s="153"/>
      <c r="R167" s="153"/>
      <c r="S167" s="153"/>
      <c r="T167" s="153"/>
      <c r="V167" s="154"/>
      <c r="W167" s="154"/>
      <c r="X167" s="154"/>
    </row>
    <row r="168" spans="5:24" s="149" customFormat="1" x14ac:dyDescent="0.25">
      <c r="E168" s="171"/>
      <c r="F168" s="355"/>
      <c r="G168" s="356"/>
      <c r="H168" s="356"/>
      <c r="I168" s="356"/>
      <c r="J168" s="356"/>
      <c r="K168" s="357"/>
      <c r="L168" s="153"/>
      <c r="M168" s="153"/>
      <c r="N168" s="153"/>
      <c r="O168" s="153"/>
      <c r="P168" s="153"/>
      <c r="Q168" s="153"/>
      <c r="R168" s="153"/>
      <c r="S168" s="153"/>
      <c r="T168" s="153"/>
      <c r="V168" s="154"/>
      <c r="W168" s="154"/>
      <c r="X168" s="154"/>
    </row>
    <row r="169" spans="5:24" s="149" customFormat="1" x14ac:dyDescent="0.25">
      <c r="E169" s="171"/>
      <c r="F169" s="355"/>
      <c r="G169" s="356"/>
      <c r="H169" s="356"/>
      <c r="I169" s="356"/>
      <c r="J169" s="356"/>
      <c r="K169" s="357"/>
      <c r="L169" s="153"/>
      <c r="M169" s="153"/>
      <c r="N169" s="153"/>
      <c r="O169" s="153"/>
      <c r="P169" s="153"/>
      <c r="Q169" s="153"/>
      <c r="R169" s="153"/>
      <c r="S169" s="153"/>
      <c r="T169" s="153"/>
      <c r="V169" s="154"/>
      <c r="W169" s="154"/>
      <c r="X169" s="154"/>
    </row>
    <row r="170" spans="5:24" s="149" customFormat="1" x14ac:dyDescent="0.25">
      <c r="E170" s="171"/>
      <c r="F170" s="355"/>
      <c r="G170" s="356"/>
      <c r="H170" s="356"/>
      <c r="I170" s="356"/>
      <c r="J170" s="356"/>
      <c r="K170" s="357"/>
      <c r="L170" s="153"/>
      <c r="M170" s="153"/>
      <c r="N170" s="153"/>
      <c r="O170" s="153"/>
      <c r="P170" s="153"/>
      <c r="Q170" s="153"/>
      <c r="R170" s="153"/>
      <c r="S170" s="153"/>
      <c r="T170" s="153"/>
      <c r="V170" s="154"/>
      <c r="W170" s="154"/>
      <c r="X170" s="154"/>
    </row>
    <row r="171" spans="5:24" s="149" customFormat="1" x14ac:dyDescent="0.25">
      <c r="E171" s="171"/>
      <c r="F171" s="355"/>
      <c r="G171" s="356"/>
      <c r="H171" s="356"/>
      <c r="I171" s="356"/>
      <c r="J171" s="356"/>
      <c r="K171" s="357"/>
      <c r="L171" s="153"/>
      <c r="M171" s="153"/>
      <c r="N171" s="153"/>
      <c r="O171" s="153"/>
      <c r="P171" s="153"/>
      <c r="Q171" s="153"/>
      <c r="R171" s="153"/>
      <c r="S171" s="153"/>
      <c r="T171" s="153"/>
      <c r="V171" s="154"/>
      <c r="W171" s="154"/>
      <c r="X171" s="154"/>
    </row>
    <row r="172" spans="5:24" s="149" customFormat="1" x14ac:dyDescent="0.25">
      <c r="E172" s="171"/>
      <c r="F172" s="355"/>
      <c r="G172" s="356"/>
      <c r="H172" s="356"/>
      <c r="I172" s="356"/>
      <c r="J172" s="356"/>
      <c r="K172" s="357"/>
      <c r="L172" s="153"/>
      <c r="M172" s="153"/>
      <c r="N172" s="153"/>
      <c r="O172" s="153"/>
      <c r="P172" s="153"/>
      <c r="Q172" s="153"/>
      <c r="R172" s="153"/>
      <c r="S172" s="153"/>
      <c r="T172" s="153"/>
      <c r="V172" s="154"/>
      <c r="W172" s="154"/>
      <c r="X172" s="154"/>
    </row>
    <row r="173" spans="5:24" s="149" customFormat="1" x14ac:dyDescent="0.25">
      <c r="E173" s="171"/>
      <c r="F173" s="355"/>
      <c r="G173" s="356"/>
      <c r="H173" s="356"/>
      <c r="I173" s="356"/>
      <c r="J173" s="356"/>
      <c r="K173" s="357"/>
      <c r="L173" s="153"/>
      <c r="M173" s="153"/>
      <c r="N173" s="153"/>
      <c r="O173" s="153"/>
      <c r="P173" s="153"/>
      <c r="Q173" s="153"/>
      <c r="R173" s="153"/>
      <c r="S173" s="153"/>
      <c r="T173" s="153"/>
      <c r="V173" s="154"/>
      <c r="W173" s="154"/>
      <c r="X173" s="154"/>
    </row>
    <row r="174" spans="5:24" s="149" customFormat="1" x14ac:dyDescent="0.25">
      <c r="E174" s="171"/>
      <c r="F174" s="355"/>
      <c r="G174" s="356"/>
      <c r="H174" s="356"/>
      <c r="I174" s="356"/>
      <c r="J174" s="356"/>
      <c r="K174" s="357"/>
      <c r="L174" s="153"/>
      <c r="M174" s="153"/>
      <c r="N174" s="153"/>
      <c r="O174" s="153"/>
      <c r="P174" s="153"/>
      <c r="Q174" s="153"/>
      <c r="R174" s="153"/>
      <c r="S174" s="153"/>
      <c r="T174" s="153"/>
      <c r="V174" s="154"/>
      <c r="W174" s="154"/>
      <c r="X174" s="154"/>
    </row>
    <row r="175" spans="5:24" s="149" customFormat="1" x14ac:dyDescent="0.25">
      <c r="E175" s="171"/>
      <c r="F175" s="355"/>
      <c r="G175" s="356"/>
      <c r="H175" s="356"/>
      <c r="I175" s="356"/>
      <c r="J175" s="356"/>
      <c r="K175" s="357"/>
      <c r="L175" s="153"/>
      <c r="M175" s="153"/>
      <c r="N175" s="153"/>
      <c r="O175" s="153"/>
      <c r="P175" s="153"/>
      <c r="Q175" s="153"/>
      <c r="R175" s="153"/>
      <c r="S175" s="153"/>
      <c r="T175" s="153"/>
      <c r="V175" s="154"/>
      <c r="W175" s="154"/>
      <c r="X175" s="154"/>
    </row>
    <row r="176" spans="5:24" s="149" customFormat="1" x14ac:dyDescent="0.25">
      <c r="E176" s="171"/>
      <c r="F176" s="355"/>
      <c r="G176" s="356"/>
      <c r="H176" s="356"/>
      <c r="I176" s="356"/>
      <c r="J176" s="356"/>
      <c r="K176" s="357"/>
      <c r="L176" s="153"/>
      <c r="M176" s="153"/>
      <c r="N176" s="153"/>
      <c r="O176" s="153"/>
      <c r="P176" s="153"/>
      <c r="Q176" s="153"/>
      <c r="R176" s="153"/>
      <c r="S176" s="153"/>
      <c r="T176" s="153"/>
      <c r="V176" s="154"/>
      <c r="W176" s="154"/>
      <c r="X176" s="154"/>
    </row>
    <row r="177" spans="5:24" s="149" customFormat="1" x14ac:dyDescent="0.25">
      <c r="E177" s="171"/>
      <c r="F177" s="355"/>
      <c r="G177" s="356"/>
      <c r="H177" s="356"/>
      <c r="I177" s="356"/>
      <c r="J177" s="356"/>
      <c r="K177" s="357"/>
      <c r="L177" s="153"/>
      <c r="M177" s="153"/>
      <c r="N177" s="153"/>
      <c r="O177" s="153"/>
      <c r="P177" s="153"/>
      <c r="Q177" s="153"/>
      <c r="R177" s="153"/>
      <c r="S177" s="153"/>
      <c r="T177" s="153"/>
      <c r="V177" s="154"/>
      <c r="W177" s="154"/>
      <c r="X177" s="154"/>
    </row>
    <row r="178" spans="5:24" s="149" customFormat="1" x14ac:dyDescent="0.25">
      <c r="E178" s="171"/>
      <c r="F178" s="355"/>
      <c r="G178" s="356"/>
      <c r="H178" s="356"/>
      <c r="I178" s="356"/>
      <c r="J178" s="356"/>
      <c r="K178" s="357"/>
      <c r="L178" s="153"/>
      <c r="M178" s="153"/>
      <c r="N178" s="153"/>
      <c r="O178" s="153"/>
      <c r="P178" s="153"/>
      <c r="Q178" s="153"/>
      <c r="R178" s="153"/>
      <c r="S178" s="153"/>
      <c r="T178" s="153"/>
      <c r="V178" s="154"/>
      <c r="W178" s="154"/>
      <c r="X178" s="154"/>
    </row>
    <row r="179" spans="5:24" s="149" customFormat="1" x14ac:dyDescent="0.25">
      <c r="E179" s="171"/>
      <c r="F179" s="355"/>
      <c r="G179" s="356"/>
      <c r="H179" s="356"/>
      <c r="I179" s="356"/>
      <c r="J179" s="356"/>
      <c r="K179" s="357"/>
      <c r="L179" s="153"/>
      <c r="M179" s="153"/>
      <c r="N179" s="153"/>
      <c r="O179" s="153"/>
      <c r="P179" s="153"/>
      <c r="Q179" s="153"/>
      <c r="R179" s="153"/>
      <c r="S179" s="153"/>
      <c r="T179" s="153"/>
      <c r="V179" s="154"/>
      <c r="W179" s="154"/>
      <c r="X179" s="154"/>
    </row>
    <row r="180" spans="5:24" s="149" customFormat="1" x14ac:dyDescent="0.25">
      <c r="E180" s="171"/>
      <c r="F180" s="355"/>
      <c r="G180" s="356"/>
      <c r="H180" s="356"/>
      <c r="I180" s="356"/>
      <c r="J180" s="356"/>
      <c r="K180" s="357"/>
      <c r="L180" s="153"/>
      <c r="M180" s="153"/>
      <c r="N180" s="153"/>
      <c r="O180" s="153"/>
      <c r="P180" s="153"/>
      <c r="Q180" s="153"/>
      <c r="R180" s="153"/>
      <c r="S180" s="153"/>
      <c r="T180" s="153"/>
      <c r="V180" s="154"/>
      <c r="W180" s="154"/>
      <c r="X180" s="154"/>
    </row>
    <row r="181" spans="5:24" s="149" customFormat="1" x14ac:dyDescent="0.25">
      <c r="E181" s="171"/>
      <c r="F181" s="355"/>
      <c r="G181" s="356"/>
      <c r="H181" s="356"/>
      <c r="I181" s="356"/>
      <c r="J181" s="356"/>
      <c r="K181" s="357"/>
      <c r="L181" s="153"/>
      <c r="M181" s="153"/>
      <c r="N181" s="153"/>
      <c r="O181" s="153"/>
      <c r="P181" s="153"/>
      <c r="Q181" s="153"/>
      <c r="R181" s="153"/>
      <c r="S181" s="153"/>
      <c r="T181" s="153"/>
      <c r="V181" s="154"/>
      <c r="W181" s="154"/>
      <c r="X181" s="154"/>
    </row>
    <row r="182" spans="5:24" s="149" customFormat="1" x14ac:dyDescent="0.25">
      <c r="E182" s="171"/>
      <c r="F182" s="355"/>
      <c r="G182" s="356"/>
      <c r="H182" s="356"/>
      <c r="I182" s="356"/>
      <c r="J182" s="356"/>
      <c r="K182" s="357"/>
      <c r="L182" s="153"/>
      <c r="M182" s="153"/>
      <c r="N182" s="153"/>
      <c r="O182" s="153"/>
      <c r="P182" s="153"/>
      <c r="Q182" s="153"/>
      <c r="R182" s="153"/>
      <c r="S182" s="153"/>
      <c r="T182" s="153"/>
      <c r="V182" s="154"/>
      <c r="W182" s="154"/>
      <c r="X182" s="154"/>
    </row>
    <row r="183" spans="5:24" s="149" customFormat="1" x14ac:dyDescent="0.25">
      <c r="E183" s="171"/>
      <c r="F183" s="355"/>
      <c r="G183" s="356"/>
      <c r="H183" s="356"/>
      <c r="I183" s="356"/>
      <c r="J183" s="356"/>
      <c r="K183" s="357"/>
      <c r="L183" s="153"/>
      <c r="M183" s="153"/>
      <c r="N183" s="153"/>
      <c r="O183" s="153"/>
      <c r="P183" s="153"/>
      <c r="Q183" s="153"/>
      <c r="R183" s="153"/>
      <c r="S183" s="153"/>
      <c r="T183" s="153"/>
      <c r="V183" s="154"/>
      <c r="W183" s="154"/>
      <c r="X183" s="154"/>
    </row>
    <row r="184" spans="5:24" s="149" customFormat="1" x14ac:dyDescent="0.25">
      <c r="E184" s="171"/>
      <c r="F184" s="355"/>
      <c r="G184" s="356"/>
      <c r="H184" s="356"/>
      <c r="I184" s="356"/>
      <c r="J184" s="356"/>
      <c r="K184" s="357"/>
      <c r="L184" s="153"/>
      <c r="M184" s="153"/>
      <c r="N184" s="153"/>
      <c r="O184" s="153"/>
      <c r="P184" s="153"/>
      <c r="Q184" s="153"/>
      <c r="R184" s="153"/>
      <c r="S184" s="153"/>
      <c r="T184" s="153"/>
      <c r="V184" s="154"/>
      <c r="W184" s="154"/>
      <c r="X184" s="154"/>
    </row>
    <row r="185" spans="5:24" s="149" customFormat="1" x14ac:dyDescent="0.25">
      <c r="E185" s="171"/>
      <c r="F185" s="355"/>
      <c r="G185" s="356"/>
      <c r="H185" s="356"/>
      <c r="I185" s="356"/>
      <c r="J185" s="356"/>
      <c r="K185" s="357"/>
      <c r="L185" s="153"/>
      <c r="M185" s="153"/>
      <c r="N185" s="153"/>
      <c r="O185" s="153"/>
      <c r="P185" s="153"/>
      <c r="Q185" s="153"/>
      <c r="R185" s="153"/>
      <c r="S185" s="153"/>
      <c r="T185" s="153"/>
      <c r="V185" s="154"/>
      <c r="W185" s="154"/>
      <c r="X185" s="154"/>
    </row>
    <row r="186" spans="5:24" s="149" customFormat="1" x14ac:dyDescent="0.25">
      <c r="E186" s="171"/>
      <c r="F186" s="355"/>
      <c r="G186" s="356"/>
      <c r="H186" s="356"/>
      <c r="I186" s="356"/>
      <c r="J186" s="356"/>
      <c r="K186" s="357"/>
      <c r="L186" s="153"/>
      <c r="M186" s="153"/>
      <c r="N186" s="153"/>
      <c r="O186" s="153"/>
      <c r="P186" s="153"/>
      <c r="Q186" s="153"/>
      <c r="R186" s="153"/>
      <c r="S186" s="153"/>
      <c r="T186" s="153"/>
      <c r="V186" s="154"/>
      <c r="W186" s="154"/>
      <c r="X186" s="154"/>
    </row>
    <row r="187" spans="5:24" s="149" customFormat="1" x14ac:dyDescent="0.25">
      <c r="E187" s="171"/>
      <c r="F187" s="355"/>
      <c r="G187" s="356"/>
      <c r="H187" s="356"/>
      <c r="I187" s="356"/>
      <c r="J187" s="356"/>
      <c r="K187" s="357"/>
      <c r="L187" s="153"/>
      <c r="M187" s="153"/>
      <c r="N187" s="153"/>
      <c r="O187" s="153"/>
      <c r="P187" s="153"/>
      <c r="Q187" s="153"/>
      <c r="R187" s="153"/>
      <c r="S187" s="153"/>
      <c r="T187" s="153"/>
      <c r="V187" s="154"/>
      <c r="W187" s="154"/>
      <c r="X187" s="154"/>
    </row>
    <row r="188" spans="5:24" s="149" customFormat="1" x14ac:dyDescent="0.25">
      <c r="E188" s="171"/>
      <c r="F188" s="355"/>
      <c r="G188" s="356"/>
      <c r="H188" s="356"/>
      <c r="I188" s="356"/>
      <c r="J188" s="356"/>
      <c r="K188" s="357"/>
      <c r="L188" s="153"/>
      <c r="M188" s="153"/>
      <c r="N188" s="153"/>
      <c r="O188" s="153"/>
      <c r="P188" s="153"/>
      <c r="Q188" s="153"/>
      <c r="R188" s="153"/>
      <c r="S188" s="153"/>
      <c r="T188" s="153"/>
      <c r="V188" s="154"/>
      <c r="W188" s="154"/>
      <c r="X188" s="154"/>
    </row>
    <row r="189" spans="5:24" s="149" customFormat="1" x14ac:dyDescent="0.25">
      <c r="E189" s="171"/>
      <c r="F189" s="355"/>
      <c r="G189" s="356"/>
      <c r="H189" s="356"/>
      <c r="I189" s="356"/>
      <c r="J189" s="356"/>
      <c r="K189" s="357"/>
      <c r="L189" s="153"/>
      <c r="M189" s="153"/>
      <c r="N189" s="153"/>
      <c r="O189" s="153"/>
      <c r="P189" s="153"/>
      <c r="Q189" s="153"/>
      <c r="R189" s="153"/>
      <c r="S189" s="153"/>
      <c r="T189" s="153"/>
      <c r="V189" s="154"/>
      <c r="W189" s="154"/>
      <c r="X189" s="154"/>
    </row>
    <row r="190" spans="5:24" s="149" customFormat="1" x14ac:dyDescent="0.25">
      <c r="E190" s="171"/>
      <c r="F190" s="355"/>
      <c r="G190" s="356"/>
      <c r="H190" s="356"/>
      <c r="I190" s="356"/>
      <c r="J190" s="356"/>
      <c r="K190" s="357"/>
      <c r="L190" s="153"/>
      <c r="M190" s="153"/>
      <c r="N190" s="153"/>
      <c r="O190" s="153"/>
      <c r="P190" s="153"/>
      <c r="Q190" s="153"/>
      <c r="R190" s="153"/>
      <c r="S190" s="153"/>
      <c r="T190" s="153"/>
      <c r="V190" s="154"/>
      <c r="W190" s="154"/>
      <c r="X190" s="154"/>
    </row>
    <row r="191" spans="5:24" s="149" customFormat="1" x14ac:dyDescent="0.25">
      <c r="E191" s="171"/>
      <c r="F191" s="355"/>
      <c r="G191" s="356"/>
      <c r="H191" s="356"/>
      <c r="I191" s="356"/>
      <c r="J191" s="356"/>
      <c r="K191" s="357"/>
      <c r="L191" s="153"/>
      <c r="M191" s="153"/>
      <c r="N191" s="153"/>
      <c r="O191" s="153"/>
      <c r="P191" s="153"/>
      <c r="Q191" s="153"/>
      <c r="R191" s="153"/>
      <c r="S191" s="153"/>
      <c r="T191" s="153"/>
      <c r="V191" s="154"/>
      <c r="W191" s="154"/>
      <c r="X191" s="154"/>
    </row>
    <row r="192" spans="5:24" s="149" customFormat="1" x14ac:dyDescent="0.25">
      <c r="E192" s="171"/>
      <c r="F192" s="355"/>
      <c r="G192" s="356"/>
      <c r="H192" s="356"/>
      <c r="I192" s="356"/>
      <c r="J192" s="356"/>
      <c r="K192" s="357"/>
      <c r="L192" s="153"/>
      <c r="M192" s="153"/>
      <c r="N192" s="153"/>
      <c r="O192" s="153"/>
      <c r="P192" s="153"/>
      <c r="Q192" s="153"/>
      <c r="R192" s="153"/>
      <c r="S192" s="153"/>
      <c r="T192" s="153"/>
      <c r="V192" s="154"/>
      <c r="W192" s="154"/>
      <c r="X192" s="154"/>
    </row>
    <row r="193" spans="5:24" s="149" customFormat="1" x14ac:dyDescent="0.25">
      <c r="E193" s="171"/>
      <c r="F193" s="355"/>
      <c r="G193" s="356"/>
      <c r="H193" s="356"/>
      <c r="I193" s="356"/>
      <c r="J193" s="356"/>
      <c r="K193" s="357"/>
      <c r="L193" s="153"/>
      <c r="M193" s="153"/>
      <c r="N193" s="153"/>
      <c r="O193" s="153"/>
      <c r="P193" s="153"/>
      <c r="Q193" s="153"/>
      <c r="R193" s="153"/>
      <c r="S193" s="153"/>
      <c r="T193" s="153"/>
      <c r="V193" s="154"/>
      <c r="W193" s="154"/>
      <c r="X193" s="154"/>
    </row>
    <row r="194" spans="5:24" s="149" customFormat="1" x14ac:dyDescent="0.25">
      <c r="E194" s="171"/>
      <c r="F194" s="355"/>
      <c r="G194" s="356"/>
      <c r="H194" s="356"/>
      <c r="I194" s="356"/>
      <c r="J194" s="356"/>
      <c r="K194" s="357"/>
      <c r="L194" s="153"/>
      <c r="M194" s="153"/>
      <c r="N194" s="153"/>
      <c r="O194" s="153"/>
      <c r="P194" s="153"/>
      <c r="Q194" s="153"/>
      <c r="R194" s="153"/>
      <c r="S194" s="153"/>
      <c r="T194" s="153"/>
      <c r="V194" s="154"/>
      <c r="W194" s="154"/>
      <c r="X194" s="154"/>
    </row>
    <row r="195" spans="5:24" s="149" customFormat="1" x14ac:dyDescent="0.25">
      <c r="E195" s="171"/>
      <c r="F195" s="355"/>
      <c r="G195" s="356"/>
      <c r="H195" s="356"/>
      <c r="I195" s="356"/>
      <c r="J195" s="356"/>
      <c r="K195" s="357"/>
      <c r="L195" s="153"/>
      <c r="M195" s="153"/>
      <c r="N195" s="153"/>
      <c r="O195" s="153"/>
      <c r="P195" s="153"/>
      <c r="Q195" s="153"/>
      <c r="R195" s="153"/>
      <c r="S195" s="153"/>
      <c r="T195" s="153"/>
      <c r="V195" s="154"/>
      <c r="W195" s="154"/>
      <c r="X195" s="154"/>
    </row>
    <row r="196" spans="5:24" s="149" customFormat="1" x14ac:dyDescent="0.25">
      <c r="E196" s="171"/>
      <c r="F196" s="355"/>
      <c r="G196" s="356"/>
      <c r="H196" s="356"/>
      <c r="I196" s="356"/>
      <c r="J196" s="356"/>
      <c r="K196" s="357"/>
      <c r="L196" s="153"/>
      <c r="M196" s="153"/>
      <c r="N196" s="153"/>
      <c r="O196" s="153"/>
      <c r="P196" s="153"/>
      <c r="Q196" s="153"/>
      <c r="R196" s="153"/>
      <c r="S196" s="153"/>
      <c r="T196" s="153"/>
      <c r="V196" s="154"/>
      <c r="W196" s="154"/>
      <c r="X196" s="154"/>
    </row>
    <row r="197" spans="5:24" s="149" customFormat="1" x14ac:dyDescent="0.25">
      <c r="E197" s="171"/>
      <c r="F197" s="355"/>
      <c r="G197" s="356"/>
      <c r="H197" s="356"/>
      <c r="I197" s="356"/>
      <c r="J197" s="356"/>
      <c r="K197" s="357"/>
      <c r="L197" s="153"/>
      <c r="M197" s="153"/>
      <c r="N197" s="153"/>
      <c r="O197" s="153"/>
      <c r="P197" s="153"/>
      <c r="Q197" s="153"/>
      <c r="R197" s="153"/>
      <c r="S197" s="153"/>
      <c r="T197" s="153"/>
      <c r="V197" s="154"/>
      <c r="W197" s="154"/>
      <c r="X197" s="154"/>
    </row>
    <row r="198" spans="5:24" s="149" customFormat="1" x14ac:dyDescent="0.25">
      <c r="E198" s="171"/>
      <c r="F198" s="355"/>
      <c r="G198" s="356"/>
      <c r="H198" s="356"/>
      <c r="I198" s="356"/>
      <c r="J198" s="356"/>
      <c r="K198" s="357"/>
      <c r="L198" s="153"/>
      <c r="M198" s="153"/>
      <c r="N198" s="153"/>
      <c r="O198" s="153"/>
      <c r="P198" s="153"/>
      <c r="Q198" s="153"/>
      <c r="R198" s="153"/>
      <c r="S198" s="153"/>
      <c r="T198" s="153"/>
      <c r="V198" s="154"/>
      <c r="W198" s="154"/>
      <c r="X198" s="154"/>
    </row>
    <row r="199" spans="5:24" s="149" customFormat="1" x14ac:dyDescent="0.25">
      <c r="E199" s="171"/>
      <c r="F199" s="355"/>
      <c r="G199" s="356"/>
      <c r="H199" s="356"/>
      <c r="I199" s="356"/>
      <c r="J199" s="356"/>
      <c r="K199" s="357"/>
      <c r="L199" s="153"/>
      <c r="M199" s="153"/>
      <c r="N199" s="153"/>
      <c r="O199" s="153"/>
      <c r="P199" s="153"/>
      <c r="Q199" s="153"/>
      <c r="R199" s="153"/>
      <c r="S199" s="153"/>
      <c r="T199" s="153"/>
      <c r="V199" s="154"/>
      <c r="W199" s="154"/>
      <c r="X199" s="154"/>
    </row>
    <row r="200" spans="5:24" s="149" customFormat="1" x14ac:dyDescent="0.25">
      <c r="E200" s="171"/>
      <c r="F200" s="355"/>
      <c r="G200" s="356"/>
      <c r="H200" s="356"/>
      <c r="I200" s="356"/>
      <c r="J200" s="356"/>
      <c r="K200" s="357"/>
      <c r="L200" s="153"/>
      <c r="M200" s="153"/>
      <c r="N200" s="153"/>
      <c r="O200" s="153"/>
      <c r="P200" s="153"/>
      <c r="Q200" s="153"/>
      <c r="R200" s="153"/>
      <c r="S200" s="153"/>
      <c r="T200" s="153"/>
      <c r="V200" s="154"/>
      <c r="W200" s="154"/>
      <c r="X200" s="154"/>
    </row>
    <row r="201" spans="5:24" s="149" customFormat="1" x14ac:dyDescent="0.25">
      <c r="E201" s="171"/>
      <c r="F201" s="355"/>
      <c r="G201" s="356"/>
      <c r="H201" s="356"/>
      <c r="I201" s="356"/>
      <c r="J201" s="356"/>
      <c r="K201" s="357"/>
      <c r="L201" s="153"/>
      <c r="M201" s="153"/>
      <c r="N201" s="153"/>
      <c r="O201" s="153"/>
      <c r="P201" s="153"/>
      <c r="Q201" s="153"/>
      <c r="R201" s="153"/>
      <c r="S201" s="153"/>
      <c r="T201" s="153"/>
      <c r="V201" s="154"/>
      <c r="W201" s="154"/>
      <c r="X201" s="154"/>
    </row>
    <row r="202" spans="5:24" s="149" customFormat="1" x14ac:dyDescent="0.25">
      <c r="E202" s="171"/>
      <c r="F202" s="355"/>
      <c r="G202" s="356"/>
      <c r="H202" s="356"/>
      <c r="I202" s="356"/>
      <c r="J202" s="356"/>
      <c r="K202" s="357"/>
      <c r="L202" s="153"/>
      <c r="M202" s="153"/>
      <c r="N202" s="153"/>
      <c r="O202" s="153"/>
      <c r="P202" s="153"/>
      <c r="Q202" s="153"/>
      <c r="R202" s="153"/>
      <c r="S202" s="153"/>
      <c r="T202" s="153"/>
      <c r="V202" s="154"/>
      <c r="W202" s="154"/>
      <c r="X202" s="154"/>
    </row>
    <row r="203" spans="5:24" s="149" customFormat="1" x14ac:dyDescent="0.25">
      <c r="E203" s="171"/>
      <c r="F203" s="355"/>
      <c r="G203" s="356"/>
      <c r="H203" s="356"/>
      <c r="I203" s="356"/>
      <c r="J203" s="356"/>
      <c r="K203" s="357"/>
      <c r="L203" s="153"/>
      <c r="M203" s="153"/>
      <c r="N203" s="153"/>
      <c r="O203" s="153"/>
      <c r="P203" s="153"/>
      <c r="Q203" s="153"/>
      <c r="R203" s="153"/>
      <c r="S203" s="153"/>
      <c r="T203" s="153"/>
      <c r="V203" s="154"/>
      <c r="W203" s="154"/>
      <c r="X203" s="154"/>
    </row>
    <row r="204" spans="5:24" s="149" customFormat="1" x14ac:dyDescent="0.25">
      <c r="E204" s="171"/>
      <c r="F204" s="355"/>
      <c r="G204" s="356"/>
      <c r="H204" s="356"/>
      <c r="I204" s="356"/>
      <c r="J204" s="356"/>
      <c r="K204" s="357"/>
      <c r="L204" s="153"/>
      <c r="M204" s="153"/>
      <c r="N204" s="153"/>
      <c r="O204" s="153"/>
      <c r="P204" s="153"/>
      <c r="Q204" s="153"/>
      <c r="R204" s="153"/>
      <c r="S204" s="153"/>
      <c r="T204" s="153"/>
      <c r="V204" s="154"/>
      <c r="W204" s="154"/>
      <c r="X204" s="154"/>
    </row>
    <row r="205" spans="5:24" s="149" customFormat="1" x14ac:dyDescent="0.25">
      <c r="E205" s="171"/>
      <c r="F205" s="355"/>
      <c r="G205" s="356"/>
      <c r="H205" s="356"/>
      <c r="I205" s="356"/>
      <c r="J205" s="356"/>
      <c r="K205" s="357"/>
      <c r="L205" s="153"/>
      <c r="M205" s="153"/>
      <c r="N205" s="153"/>
      <c r="O205" s="153"/>
      <c r="P205" s="153"/>
      <c r="Q205" s="153"/>
      <c r="R205" s="153"/>
      <c r="S205" s="153"/>
      <c r="T205" s="153"/>
      <c r="V205" s="154"/>
      <c r="W205" s="154"/>
      <c r="X205" s="154"/>
    </row>
    <row r="206" spans="5:24" s="149" customFormat="1" x14ac:dyDescent="0.25">
      <c r="E206" s="171"/>
      <c r="F206" s="355"/>
      <c r="G206" s="356"/>
      <c r="H206" s="356"/>
      <c r="I206" s="356"/>
      <c r="J206" s="356"/>
      <c r="K206" s="357"/>
      <c r="L206" s="153"/>
      <c r="M206" s="153"/>
      <c r="N206" s="153"/>
      <c r="O206" s="153"/>
      <c r="P206" s="153"/>
      <c r="Q206" s="153"/>
      <c r="R206" s="153"/>
      <c r="S206" s="153"/>
      <c r="T206" s="153"/>
      <c r="V206" s="154"/>
      <c r="W206" s="154"/>
      <c r="X206" s="154"/>
    </row>
    <row r="207" spans="5:24" s="149" customFormat="1" x14ac:dyDescent="0.25">
      <c r="E207" s="171"/>
      <c r="F207" s="355"/>
      <c r="G207" s="356"/>
      <c r="H207" s="356"/>
      <c r="I207" s="356"/>
      <c r="J207" s="356"/>
      <c r="K207" s="357"/>
      <c r="L207" s="153"/>
      <c r="M207" s="153"/>
      <c r="N207" s="153"/>
      <c r="O207" s="153"/>
      <c r="P207" s="153"/>
      <c r="Q207" s="153"/>
      <c r="R207" s="153"/>
      <c r="S207" s="153"/>
      <c r="T207" s="153"/>
      <c r="V207" s="154"/>
      <c r="W207" s="154"/>
      <c r="X207" s="154"/>
    </row>
    <row r="208" spans="5:24" s="149" customFormat="1" x14ac:dyDescent="0.25">
      <c r="E208" s="171"/>
      <c r="F208" s="355"/>
      <c r="G208" s="356"/>
      <c r="H208" s="356"/>
      <c r="I208" s="356"/>
      <c r="J208" s="356"/>
      <c r="K208" s="357"/>
      <c r="L208" s="153"/>
      <c r="M208" s="153"/>
      <c r="N208" s="153"/>
      <c r="O208" s="153"/>
      <c r="P208" s="153"/>
      <c r="Q208" s="153"/>
      <c r="R208" s="153"/>
      <c r="S208" s="153"/>
      <c r="T208" s="153"/>
      <c r="V208" s="154"/>
      <c r="W208" s="154"/>
      <c r="X208" s="154"/>
    </row>
    <row r="209" spans="5:24" s="149" customFormat="1" x14ac:dyDescent="0.25">
      <c r="E209" s="171"/>
      <c r="F209" s="355"/>
      <c r="G209" s="356"/>
      <c r="H209" s="356"/>
      <c r="I209" s="356"/>
      <c r="J209" s="356"/>
      <c r="K209" s="357"/>
      <c r="L209" s="153"/>
      <c r="M209" s="153"/>
      <c r="N209" s="153"/>
      <c r="O209" s="153"/>
      <c r="P209" s="153"/>
      <c r="Q209" s="153"/>
      <c r="R209" s="153"/>
      <c r="S209" s="153"/>
      <c r="T209" s="153"/>
      <c r="V209" s="154"/>
      <c r="W209" s="154"/>
      <c r="X209" s="154"/>
    </row>
    <row r="210" spans="5:24" s="149" customFormat="1" x14ac:dyDescent="0.25">
      <c r="E210" s="171"/>
      <c r="F210" s="355"/>
      <c r="G210" s="356"/>
      <c r="H210" s="356"/>
      <c r="I210" s="356"/>
      <c r="J210" s="356"/>
      <c r="K210" s="357"/>
      <c r="L210" s="153"/>
      <c r="M210" s="153"/>
      <c r="N210" s="153"/>
      <c r="O210" s="153"/>
      <c r="P210" s="153"/>
      <c r="Q210" s="153"/>
      <c r="R210" s="153"/>
      <c r="S210" s="153"/>
      <c r="T210" s="153"/>
      <c r="V210" s="154"/>
      <c r="W210" s="154"/>
      <c r="X210" s="154"/>
    </row>
    <row r="211" spans="5:24" s="149" customFormat="1" x14ac:dyDescent="0.25">
      <c r="E211" s="171"/>
      <c r="F211" s="355"/>
      <c r="G211" s="356"/>
      <c r="H211" s="356"/>
      <c r="I211" s="356"/>
      <c r="J211" s="356"/>
      <c r="K211" s="357"/>
      <c r="L211" s="153"/>
      <c r="M211" s="153"/>
      <c r="N211" s="153"/>
      <c r="O211" s="153"/>
      <c r="P211" s="153"/>
      <c r="Q211" s="153"/>
      <c r="R211" s="153"/>
      <c r="S211" s="153"/>
      <c r="T211" s="153"/>
      <c r="V211" s="154"/>
      <c r="W211" s="154"/>
      <c r="X211" s="154"/>
    </row>
    <row r="212" spans="5:24" s="149" customFormat="1" x14ac:dyDescent="0.25">
      <c r="E212" s="171"/>
      <c r="F212" s="355"/>
      <c r="G212" s="356"/>
      <c r="H212" s="356"/>
      <c r="I212" s="356"/>
      <c r="J212" s="356"/>
      <c r="K212" s="357"/>
      <c r="L212" s="153"/>
      <c r="M212" s="153"/>
      <c r="N212" s="153"/>
      <c r="O212" s="153"/>
      <c r="P212" s="153"/>
      <c r="Q212" s="153"/>
      <c r="R212" s="153"/>
      <c r="S212" s="153"/>
      <c r="T212" s="153"/>
      <c r="V212" s="154"/>
      <c r="W212" s="154"/>
      <c r="X212" s="154"/>
    </row>
    <row r="213" spans="5:24" s="149" customFormat="1" x14ac:dyDescent="0.25">
      <c r="E213" s="171"/>
      <c r="F213" s="355"/>
      <c r="G213" s="356"/>
      <c r="H213" s="356"/>
      <c r="I213" s="356"/>
      <c r="J213" s="356"/>
      <c r="K213" s="357"/>
      <c r="L213" s="153"/>
      <c r="M213" s="153"/>
      <c r="N213" s="153"/>
      <c r="O213" s="153"/>
      <c r="P213" s="153"/>
      <c r="Q213" s="153"/>
      <c r="R213" s="153"/>
      <c r="S213" s="153"/>
      <c r="T213" s="153"/>
      <c r="V213" s="154"/>
      <c r="W213" s="154"/>
      <c r="X213" s="154"/>
    </row>
    <row r="214" spans="5:24" s="149" customFormat="1" x14ac:dyDescent="0.25">
      <c r="E214" s="171"/>
      <c r="F214" s="355"/>
      <c r="G214" s="356"/>
      <c r="H214" s="356"/>
      <c r="I214" s="356"/>
      <c r="J214" s="356"/>
      <c r="K214" s="357"/>
      <c r="L214" s="153"/>
      <c r="M214" s="153"/>
      <c r="N214" s="153"/>
      <c r="O214" s="153"/>
      <c r="P214" s="153"/>
      <c r="Q214" s="153"/>
      <c r="R214" s="153"/>
      <c r="S214" s="153"/>
      <c r="T214" s="153"/>
      <c r="V214" s="154"/>
      <c r="W214" s="154"/>
      <c r="X214" s="154"/>
    </row>
    <row r="215" spans="5:24" s="149" customFormat="1" x14ac:dyDescent="0.25">
      <c r="E215" s="171"/>
      <c r="F215" s="355"/>
      <c r="G215" s="356"/>
      <c r="H215" s="356"/>
      <c r="I215" s="356"/>
      <c r="J215" s="356"/>
      <c r="K215" s="357"/>
      <c r="L215" s="153"/>
      <c r="M215" s="153"/>
      <c r="N215" s="153"/>
      <c r="O215" s="153"/>
      <c r="P215" s="153"/>
      <c r="Q215" s="153"/>
      <c r="R215" s="153"/>
      <c r="S215" s="153"/>
      <c r="T215" s="153"/>
      <c r="V215" s="154"/>
      <c r="W215" s="154"/>
      <c r="X215" s="154"/>
    </row>
    <row r="216" spans="5:24" s="149" customFormat="1" x14ac:dyDescent="0.25">
      <c r="E216" s="171"/>
      <c r="F216" s="355"/>
      <c r="G216" s="356"/>
      <c r="H216" s="356"/>
      <c r="I216" s="356"/>
      <c r="J216" s="356"/>
      <c r="K216" s="357"/>
      <c r="L216" s="153"/>
      <c r="M216" s="153"/>
      <c r="N216" s="153"/>
      <c r="O216" s="153"/>
      <c r="P216" s="153"/>
      <c r="Q216" s="153"/>
      <c r="R216" s="153"/>
      <c r="S216" s="153"/>
      <c r="T216" s="153"/>
      <c r="V216" s="154"/>
      <c r="W216" s="154"/>
      <c r="X216" s="154"/>
    </row>
    <row r="217" spans="5:24" s="149" customFormat="1" x14ac:dyDescent="0.25">
      <c r="E217" s="171"/>
      <c r="F217" s="355"/>
      <c r="G217" s="356"/>
      <c r="H217" s="356"/>
      <c r="I217" s="356"/>
      <c r="J217" s="356"/>
      <c r="K217" s="357"/>
      <c r="L217" s="153"/>
      <c r="M217" s="153"/>
      <c r="N217" s="153"/>
      <c r="O217" s="153"/>
      <c r="P217" s="153"/>
      <c r="Q217" s="153"/>
      <c r="R217" s="153"/>
      <c r="S217" s="153"/>
      <c r="T217" s="153"/>
      <c r="V217" s="154"/>
      <c r="W217" s="154"/>
      <c r="X217" s="154"/>
    </row>
    <row r="218" spans="5:24" s="149" customFormat="1" x14ac:dyDescent="0.25">
      <c r="E218" s="171"/>
      <c r="F218" s="355"/>
      <c r="G218" s="356"/>
      <c r="H218" s="356"/>
      <c r="I218" s="356"/>
      <c r="J218" s="356"/>
      <c r="K218" s="357"/>
      <c r="L218" s="153"/>
      <c r="M218" s="153"/>
      <c r="N218" s="153"/>
      <c r="O218" s="153"/>
      <c r="P218" s="153"/>
      <c r="Q218" s="153"/>
      <c r="R218" s="153"/>
      <c r="S218" s="153"/>
      <c r="T218" s="153"/>
      <c r="V218" s="154"/>
      <c r="W218" s="154"/>
      <c r="X218" s="154"/>
    </row>
    <row r="219" spans="5:24" s="149" customFormat="1" x14ac:dyDescent="0.25">
      <c r="E219" s="171"/>
      <c r="F219" s="355"/>
      <c r="G219" s="356"/>
      <c r="H219" s="356"/>
      <c r="I219" s="356"/>
      <c r="J219" s="356"/>
      <c r="K219" s="357"/>
      <c r="L219" s="153"/>
      <c r="M219" s="153"/>
      <c r="N219" s="153"/>
      <c r="O219" s="153"/>
      <c r="P219" s="153"/>
      <c r="Q219" s="153"/>
      <c r="R219" s="153"/>
      <c r="S219" s="153"/>
      <c r="T219" s="153"/>
      <c r="V219" s="154"/>
      <c r="W219" s="154"/>
      <c r="X219" s="154"/>
    </row>
    <row r="220" spans="5:24" s="149" customFormat="1" x14ac:dyDescent="0.25">
      <c r="E220" s="171"/>
      <c r="F220" s="355"/>
      <c r="G220" s="356"/>
      <c r="H220" s="356"/>
      <c r="I220" s="356"/>
      <c r="J220" s="356"/>
      <c r="K220" s="357"/>
      <c r="L220" s="153"/>
      <c r="M220" s="153"/>
      <c r="N220" s="153"/>
      <c r="O220" s="153"/>
      <c r="P220" s="153"/>
      <c r="Q220" s="153"/>
      <c r="R220" s="153"/>
      <c r="S220" s="153"/>
      <c r="T220" s="153"/>
      <c r="V220" s="154"/>
      <c r="W220" s="154"/>
      <c r="X220" s="154"/>
    </row>
    <row r="221" spans="5:24" s="149" customFormat="1" x14ac:dyDescent="0.25">
      <c r="E221" s="171"/>
      <c r="F221" s="355"/>
      <c r="G221" s="356"/>
      <c r="H221" s="356"/>
      <c r="I221" s="356"/>
      <c r="J221" s="356"/>
      <c r="K221" s="357"/>
      <c r="L221" s="153"/>
      <c r="M221" s="153"/>
      <c r="N221" s="153"/>
      <c r="O221" s="153"/>
      <c r="P221" s="153"/>
      <c r="Q221" s="153"/>
      <c r="R221" s="153"/>
      <c r="S221" s="153"/>
      <c r="T221" s="153"/>
      <c r="V221" s="154"/>
      <c r="W221" s="154"/>
      <c r="X221" s="154"/>
    </row>
    <row r="222" spans="5:24" s="149" customFormat="1" x14ac:dyDescent="0.25">
      <c r="E222" s="171"/>
      <c r="F222" s="355"/>
      <c r="G222" s="356"/>
      <c r="H222" s="356"/>
      <c r="I222" s="356"/>
      <c r="J222" s="356"/>
      <c r="K222" s="357"/>
      <c r="L222" s="153"/>
      <c r="M222" s="153"/>
      <c r="N222" s="153"/>
      <c r="O222" s="153"/>
      <c r="P222" s="153"/>
      <c r="Q222" s="153"/>
      <c r="R222" s="153"/>
      <c r="S222" s="153"/>
      <c r="T222" s="153"/>
      <c r="V222" s="154"/>
      <c r="W222" s="154"/>
      <c r="X222" s="154"/>
    </row>
    <row r="223" spans="5:24" s="149" customFormat="1" x14ac:dyDescent="0.25">
      <c r="E223" s="171"/>
      <c r="F223" s="355"/>
      <c r="G223" s="356"/>
      <c r="H223" s="356"/>
      <c r="I223" s="356"/>
      <c r="J223" s="356"/>
      <c r="K223" s="357"/>
      <c r="L223" s="153"/>
      <c r="M223" s="153"/>
      <c r="N223" s="153"/>
      <c r="O223" s="153"/>
      <c r="P223" s="153"/>
      <c r="Q223" s="153"/>
      <c r="R223" s="153"/>
      <c r="S223" s="153"/>
      <c r="T223" s="153"/>
      <c r="V223" s="154"/>
      <c r="W223" s="154"/>
      <c r="X223" s="154"/>
    </row>
    <row r="224" spans="5:24" s="149" customFormat="1" x14ac:dyDescent="0.25">
      <c r="E224" s="171"/>
      <c r="F224" s="355"/>
      <c r="G224" s="356"/>
      <c r="H224" s="356"/>
      <c r="I224" s="356"/>
      <c r="J224" s="356"/>
      <c r="K224" s="357"/>
      <c r="L224" s="153"/>
      <c r="M224" s="153"/>
      <c r="N224" s="153"/>
      <c r="O224" s="153"/>
      <c r="P224" s="153"/>
      <c r="Q224" s="153"/>
      <c r="R224" s="153"/>
      <c r="S224" s="153"/>
      <c r="T224" s="153"/>
      <c r="V224" s="154"/>
      <c r="W224" s="154"/>
      <c r="X224" s="154"/>
    </row>
    <row r="225" spans="5:24" s="149" customFormat="1" x14ac:dyDescent="0.25">
      <c r="E225" s="171"/>
      <c r="F225" s="355"/>
      <c r="G225" s="356"/>
      <c r="H225" s="356"/>
      <c r="I225" s="356"/>
      <c r="J225" s="356"/>
      <c r="K225" s="357"/>
      <c r="L225" s="153"/>
      <c r="M225" s="153"/>
      <c r="N225" s="153"/>
      <c r="O225" s="153"/>
      <c r="P225" s="153"/>
      <c r="Q225" s="153"/>
      <c r="R225" s="153"/>
      <c r="S225" s="153"/>
      <c r="T225" s="153"/>
      <c r="V225" s="154"/>
      <c r="W225" s="154"/>
      <c r="X225" s="154"/>
    </row>
    <row r="226" spans="5:24" s="149" customFormat="1" x14ac:dyDescent="0.25">
      <c r="E226" s="171"/>
      <c r="F226" s="355"/>
      <c r="G226" s="356"/>
      <c r="H226" s="356"/>
      <c r="I226" s="356"/>
      <c r="J226" s="356"/>
      <c r="K226" s="357"/>
      <c r="L226" s="153"/>
      <c r="M226" s="153"/>
      <c r="N226" s="153"/>
      <c r="O226" s="153"/>
      <c r="P226" s="153"/>
      <c r="Q226" s="153"/>
      <c r="R226" s="153"/>
      <c r="S226" s="153"/>
      <c r="T226" s="153"/>
      <c r="V226" s="154"/>
      <c r="W226" s="154"/>
      <c r="X226" s="154"/>
    </row>
    <row r="227" spans="5:24" s="149" customFormat="1" x14ac:dyDescent="0.25">
      <c r="E227" s="171"/>
      <c r="F227" s="355"/>
      <c r="G227" s="356"/>
      <c r="H227" s="356"/>
      <c r="I227" s="356"/>
      <c r="J227" s="356"/>
      <c r="K227" s="357"/>
      <c r="L227" s="153"/>
      <c r="M227" s="153"/>
      <c r="N227" s="153"/>
      <c r="O227" s="153"/>
      <c r="P227" s="153"/>
      <c r="Q227" s="153"/>
      <c r="R227" s="153"/>
      <c r="S227" s="153"/>
      <c r="T227" s="153"/>
      <c r="V227" s="154"/>
      <c r="W227" s="154"/>
      <c r="X227" s="154"/>
    </row>
    <row r="228" spans="5:24" s="149" customFormat="1" x14ac:dyDescent="0.25">
      <c r="E228" s="171"/>
      <c r="F228" s="355"/>
      <c r="G228" s="356"/>
      <c r="H228" s="356"/>
      <c r="I228" s="356"/>
      <c r="J228" s="356"/>
      <c r="K228" s="357"/>
      <c r="L228" s="153"/>
      <c r="M228" s="153"/>
      <c r="N228" s="153"/>
      <c r="O228" s="153"/>
      <c r="P228" s="153"/>
      <c r="Q228" s="153"/>
      <c r="R228" s="153"/>
      <c r="S228" s="153"/>
      <c r="T228" s="153"/>
      <c r="V228" s="154"/>
      <c r="W228" s="154"/>
      <c r="X228" s="154"/>
    </row>
    <row r="229" spans="5:24" s="149" customFormat="1" x14ac:dyDescent="0.25">
      <c r="E229" s="171"/>
      <c r="F229" s="355"/>
      <c r="G229" s="356"/>
      <c r="H229" s="356"/>
      <c r="I229" s="356"/>
      <c r="J229" s="356"/>
      <c r="K229" s="357"/>
      <c r="L229" s="153"/>
      <c r="M229" s="153"/>
      <c r="N229" s="153"/>
      <c r="O229" s="153"/>
      <c r="P229" s="153"/>
      <c r="Q229" s="153"/>
      <c r="R229" s="153"/>
      <c r="S229" s="153"/>
      <c r="T229" s="153"/>
      <c r="V229" s="154"/>
      <c r="W229" s="154"/>
      <c r="X229" s="154"/>
    </row>
    <row r="230" spans="5:24" s="149" customFormat="1" x14ac:dyDescent="0.25">
      <c r="E230" s="171"/>
      <c r="F230" s="355"/>
      <c r="G230" s="356"/>
      <c r="H230" s="356"/>
      <c r="I230" s="356"/>
      <c r="J230" s="356"/>
      <c r="K230" s="357"/>
      <c r="L230" s="153"/>
      <c r="M230" s="153"/>
      <c r="N230" s="153"/>
      <c r="O230" s="153"/>
      <c r="P230" s="153"/>
      <c r="Q230" s="153"/>
      <c r="R230" s="153"/>
      <c r="S230" s="153"/>
      <c r="T230" s="153"/>
      <c r="V230" s="154"/>
      <c r="W230" s="154"/>
      <c r="X230" s="154"/>
    </row>
    <row r="231" spans="5:24" s="149" customFormat="1" x14ac:dyDescent="0.25">
      <c r="E231" s="171"/>
      <c r="F231" s="355"/>
      <c r="G231" s="356"/>
      <c r="H231" s="356"/>
      <c r="I231" s="356"/>
      <c r="J231" s="356"/>
      <c r="K231" s="357"/>
      <c r="L231" s="153"/>
      <c r="M231" s="153"/>
      <c r="N231" s="153"/>
      <c r="O231" s="153"/>
      <c r="P231" s="153"/>
      <c r="Q231" s="153"/>
      <c r="R231" s="153"/>
      <c r="S231" s="153"/>
      <c r="T231" s="153"/>
      <c r="V231" s="154"/>
      <c r="W231" s="154"/>
      <c r="X231" s="154"/>
    </row>
    <row r="232" spans="5:24" s="149" customFormat="1" x14ac:dyDescent="0.25">
      <c r="E232" s="171"/>
      <c r="F232" s="355"/>
      <c r="G232" s="356"/>
      <c r="H232" s="356"/>
      <c r="I232" s="356"/>
      <c r="J232" s="356"/>
      <c r="K232" s="357"/>
      <c r="L232" s="153"/>
      <c r="M232" s="153"/>
      <c r="N232" s="153"/>
      <c r="O232" s="153"/>
      <c r="P232" s="153"/>
      <c r="Q232" s="153"/>
      <c r="R232" s="153"/>
      <c r="S232" s="153"/>
      <c r="T232" s="153"/>
      <c r="V232" s="154"/>
      <c r="W232" s="154"/>
      <c r="X232" s="154"/>
    </row>
    <row r="233" spans="5:24" s="149" customFormat="1" x14ac:dyDescent="0.25">
      <c r="E233" s="171"/>
      <c r="F233" s="355"/>
      <c r="G233" s="356"/>
      <c r="H233" s="356"/>
      <c r="I233" s="356"/>
      <c r="J233" s="356"/>
      <c r="K233" s="357"/>
      <c r="L233" s="153"/>
      <c r="M233" s="153"/>
      <c r="N233" s="153"/>
      <c r="O233" s="153"/>
      <c r="P233" s="153"/>
      <c r="Q233" s="153"/>
      <c r="R233" s="153"/>
      <c r="S233" s="153"/>
      <c r="T233" s="153"/>
      <c r="V233" s="154"/>
      <c r="W233" s="154"/>
      <c r="X233" s="154"/>
    </row>
    <row r="234" spans="5:24" s="149" customFormat="1" x14ac:dyDescent="0.25">
      <c r="E234" s="171"/>
      <c r="F234" s="355"/>
      <c r="G234" s="356"/>
      <c r="H234" s="356"/>
      <c r="I234" s="356"/>
      <c r="J234" s="356"/>
      <c r="K234" s="357"/>
      <c r="L234" s="153"/>
      <c r="M234" s="153"/>
      <c r="N234" s="153"/>
      <c r="O234" s="153"/>
      <c r="P234" s="153"/>
      <c r="Q234" s="153"/>
      <c r="R234" s="153"/>
      <c r="S234" s="153"/>
      <c r="T234" s="153"/>
      <c r="V234" s="154"/>
      <c r="W234" s="154"/>
      <c r="X234" s="154"/>
    </row>
    <row r="235" spans="5:24" s="149" customFormat="1" x14ac:dyDescent="0.25">
      <c r="E235" s="171"/>
      <c r="F235" s="355"/>
      <c r="G235" s="356"/>
      <c r="H235" s="356"/>
      <c r="I235" s="356"/>
      <c r="J235" s="356"/>
      <c r="K235" s="357"/>
      <c r="L235" s="153"/>
      <c r="M235" s="153"/>
      <c r="N235" s="153"/>
      <c r="O235" s="153"/>
      <c r="P235" s="153"/>
      <c r="Q235" s="153"/>
      <c r="R235" s="153"/>
      <c r="S235" s="153"/>
      <c r="T235" s="153"/>
      <c r="V235" s="154"/>
      <c r="W235" s="154"/>
      <c r="X235" s="154"/>
    </row>
    <row r="236" spans="5:24" s="149" customFormat="1" x14ac:dyDescent="0.25">
      <c r="E236" s="171"/>
      <c r="F236" s="355"/>
      <c r="G236" s="356"/>
      <c r="H236" s="356"/>
      <c r="I236" s="356"/>
      <c r="J236" s="356"/>
      <c r="K236" s="357"/>
      <c r="L236" s="153"/>
      <c r="M236" s="153"/>
      <c r="N236" s="153"/>
      <c r="O236" s="153"/>
      <c r="P236" s="153"/>
      <c r="Q236" s="153"/>
      <c r="R236" s="153"/>
      <c r="S236" s="153"/>
      <c r="T236" s="153"/>
      <c r="V236" s="154"/>
      <c r="W236" s="154"/>
      <c r="X236" s="154"/>
    </row>
    <row r="237" spans="5:24" s="149" customFormat="1" x14ac:dyDescent="0.25">
      <c r="E237" s="171"/>
      <c r="F237" s="355"/>
      <c r="G237" s="356"/>
      <c r="H237" s="356"/>
      <c r="I237" s="356"/>
      <c r="J237" s="356"/>
      <c r="K237" s="357"/>
      <c r="L237" s="153"/>
      <c r="M237" s="153"/>
      <c r="N237" s="153"/>
      <c r="O237" s="153"/>
      <c r="P237" s="153"/>
      <c r="Q237" s="153"/>
      <c r="R237" s="153"/>
      <c r="S237" s="153"/>
      <c r="T237" s="153"/>
      <c r="V237" s="154"/>
      <c r="W237" s="154"/>
      <c r="X237" s="154"/>
    </row>
    <row r="238" spans="5:24" s="149" customFormat="1" x14ac:dyDescent="0.25">
      <c r="E238" s="171"/>
      <c r="F238" s="355"/>
      <c r="G238" s="356"/>
      <c r="H238" s="356"/>
      <c r="I238" s="356"/>
      <c r="J238" s="356"/>
      <c r="K238" s="357"/>
      <c r="L238" s="153"/>
      <c r="M238" s="153"/>
      <c r="N238" s="153"/>
      <c r="O238" s="153"/>
      <c r="P238" s="153"/>
      <c r="Q238" s="153"/>
      <c r="R238" s="153"/>
      <c r="S238" s="153"/>
      <c r="T238" s="153"/>
      <c r="V238" s="154"/>
      <c r="W238" s="154"/>
      <c r="X238" s="154"/>
    </row>
    <row r="239" spans="5:24" s="149" customFormat="1" x14ac:dyDescent="0.25">
      <c r="E239" s="171"/>
      <c r="F239" s="355"/>
      <c r="G239" s="356"/>
      <c r="H239" s="356"/>
      <c r="I239" s="356"/>
      <c r="J239" s="356"/>
      <c r="K239" s="357"/>
      <c r="L239" s="153"/>
      <c r="M239" s="153"/>
      <c r="N239" s="153"/>
      <c r="O239" s="153"/>
      <c r="P239" s="153"/>
      <c r="Q239" s="153"/>
      <c r="R239" s="153"/>
      <c r="S239" s="153"/>
      <c r="T239" s="153"/>
      <c r="V239" s="154"/>
      <c r="W239" s="154"/>
      <c r="X239" s="154"/>
    </row>
    <row r="240" spans="5:24" s="149" customFormat="1" x14ac:dyDescent="0.25">
      <c r="E240" s="171"/>
      <c r="F240" s="355"/>
      <c r="G240" s="356"/>
      <c r="H240" s="356"/>
      <c r="I240" s="356"/>
      <c r="J240" s="356"/>
      <c r="K240" s="357"/>
      <c r="L240" s="153"/>
      <c r="M240" s="153"/>
      <c r="N240" s="153"/>
      <c r="O240" s="153"/>
      <c r="P240" s="153"/>
      <c r="Q240" s="153"/>
      <c r="R240" s="153"/>
      <c r="S240" s="153"/>
      <c r="T240" s="153"/>
      <c r="V240" s="154"/>
      <c r="W240" s="154"/>
      <c r="X240" s="154"/>
    </row>
    <row r="241" spans="5:24" s="149" customFormat="1" x14ac:dyDescent="0.25">
      <c r="E241" s="171"/>
      <c r="F241" s="355"/>
      <c r="G241" s="356"/>
      <c r="H241" s="356"/>
      <c r="I241" s="356"/>
      <c r="J241" s="356"/>
      <c r="K241" s="357"/>
      <c r="L241" s="153"/>
      <c r="M241" s="153"/>
      <c r="N241" s="153"/>
      <c r="O241" s="153"/>
      <c r="P241" s="153"/>
      <c r="Q241" s="153"/>
      <c r="R241" s="153"/>
      <c r="S241" s="153"/>
      <c r="T241" s="153"/>
      <c r="V241" s="154"/>
      <c r="W241" s="154"/>
      <c r="X241" s="154"/>
    </row>
    <row r="242" spans="5:24" s="149" customFormat="1" x14ac:dyDescent="0.25">
      <c r="E242" s="171"/>
      <c r="F242" s="355"/>
      <c r="G242" s="356"/>
      <c r="H242" s="356"/>
      <c r="I242" s="356"/>
      <c r="J242" s="356"/>
      <c r="K242" s="357"/>
      <c r="L242" s="153"/>
      <c r="M242" s="153"/>
      <c r="N242" s="153"/>
      <c r="O242" s="153"/>
      <c r="P242" s="153"/>
      <c r="Q242" s="153"/>
      <c r="R242" s="153"/>
      <c r="S242" s="153"/>
      <c r="T242" s="153"/>
      <c r="V242" s="154"/>
      <c r="W242" s="154"/>
      <c r="X242" s="154"/>
    </row>
    <row r="243" spans="5:24" s="149" customFormat="1" x14ac:dyDescent="0.25">
      <c r="E243" s="171"/>
      <c r="F243" s="355"/>
      <c r="G243" s="356"/>
      <c r="H243" s="356"/>
      <c r="I243" s="356"/>
      <c r="J243" s="356"/>
      <c r="K243" s="357"/>
      <c r="L243" s="153"/>
      <c r="M243" s="153"/>
      <c r="N243" s="153"/>
      <c r="O243" s="153"/>
      <c r="P243" s="153"/>
      <c r="Q243" s="153"/>
      <c r="R243" s="153"/>
      <c r="S243" s="153"/>
      <c r="T243" s="153"/>
      <c r="V243" s="154"/>
      <c r="W243" s="154"/>
      <c r="X243" s="154"/>
    </row>
    <row r="244" spans="5:24" s="149" customFormat="1" x14ac:dyDescent="0.25">
      <c r="E244" s="171"/>
      <c r="F244" s="355"/>
      <c r="G244" s="356"/>
      <c r="H244" s="356"/>
      <c r="I244" s="356"/>
      <c r="J244" s="356"/>
      <c r="K244" s="357"/>
      <c r="L244" s="153"/>
      <c r="M244" s="153"/>
      <c r="N244" s="153"/>
      <c r="O244" s="153"/>
      <c r="P244" s="153"/>
      <c r="Q244" s="153"/>
      <c r="R244" s="153"/>
      <c r="S244" s="153"/>
      <c r="T244" s="153"/>
      <c r="V244" s="154"/>
      <c r="W244" s="154"/>
      <c r="X244" s="154"/>
    </row>
    <row r="245" spans="5:24" s="149" customFormat="1" x14ac:dyDescent="0.25">
      <c r="E245" s="171"/>
      <c r="F245" s="355"/>
      <c r="G245" s="356"/>
      <c r="H245" s="356"/>
      <c r="I245" s="356"/>
      <c r="J245" s="356"/>
      <c r="K245" s="357"/>
      <c r="L245" s="153"/>
      <c r="M245" s="153"/>
      <c r="N245" s="153"/>
      <c r="O245" s="153"/>
      <c r="P245" s="153"/>
      <c r="Q245" s="153"/>
      <c r="R245" s="153"/>
      <c r="S245" s="153"/>
      <c r="T245" s="153"/>
      <c r="V245" s="154"/>
      <c r="W245" s="154"/>
      <c r="X245" s="154"/>
    </row>
    <row r="246" spans="5:24" s="149" customFormat="1" x14ac:dyDescent="0.25">
      <c r="E246" s="171"/>
      <c r="F246" s="355"/>
      <c r="G246" s="356"/>
      <c r="H246" s="356"/>
      <c r="I246" s="356"/>
      <c r="J246" s="356"/>
      <c r="K246" s="357"/>
      <c r="L246" s="153"/>
      <c r="M246" s="153"/>
      <c r="N246" s="153"/>
      <c r="O246" s="153"/>
      <c r="P246" s="153"/>
      <c r="Q246" s="153"/>
      <c r="R246" s="153"/>
      <c r="S246" s="153"/>
      <c r="T246" s="153"/>
      <c r="V246" s="154"/>
      <c r="W246" s="154"/>
      <c r="X246" s="154"/>
    </row>
    <row r="247" spans="5:24" s="149" customFormat="1" x14ac:dyDescent="0.25">
      <c r="E247" s="171"/>
      <c r="F247" s="355"/>
      <c r="G247" s="356"/>
      <c r="H247" s="356"/>
      <c r="I247" s="356"/>
      <c r="J247" s="356"/>
      <c r="K247" s="357"/>
      <c r="L247" s="153"/>
      <c r="M247" s="153"/>
      <c r="N247" s="153"/>
      <c r="O247" s="153"/>
      <c r="P247" s="153"/>
      <c r="Q247" s="153"/>
      <c r="R247" s="153"/>
      <c r="S247" s="153"/>
      <c r="T247" s="153"/>
      <c r="V247" s="154"/>
      <c r="W247" s="154"/>
      <c r="X247" s="154"/>
    </row>
    <row r="248" spans="5:24" s="149" customFormat="1" x14ac:dyDescent="0.25">
      <c r="E248" s="171"/>
      <c r="F248" s="355"/>
      <c r="G248" s="356"/>
      <c r="H248" s="356"/>
      <c r="I248" s="356"/>
      <c r="J248" s="356"/>
      <c r="K248" s="357"/>
      <c r="L248" s="153"/>
      <c r="M248" s="153"/>
      <c r="N248" s="153"/>
      <c r="O248" s="153"/>
      <c r="P248" s="153"/>
      <c r="Q248" s="153"/>
      <c r="R248" s="153"/>
      <c r="S248" s="153"/>
      <c r="T248" s="153"/>
      <c r="V248" s="154"/>
      <c r="W248" s="154"/>
      <c r="X248" s="154"/>
    </row>
    <row r="249" spans="5:24" s="149" customFormat="1" x14ac:dyDescent="0.25">
      <c r="E249" s="171"/>
      <c r="F249" s="355"/>
      <c r="G249" s="356"/>
      <c r="H249" s="356"/>
      <c r="I249" s="356"/>
      <c r="J249" s="356"/>
      <c r="K249" s="357"/>
      <c r="L249" s="153"/>
      <c r="M249" s="153"/>
      <c r="N249" s="153"/>
      <c r="O249" s="153"/>
      <c r="P249" s="153"/>
      <c r="Q249" s="153"/>
      <c r="R249" s="153"/>
      <c r="S249" s="153"/>
      <c r="T249" s="153"/>
      <c r="V249" s="154"/>
      <c r="W249" s="154"/>
      <c r="X249" s="154"/>
    </row>
    <row r="250" spans="5:24" s="149" customFormat="1" x14ac:dyDescent="0.25">
      <c r="E250" s="171"/>
      <c r="F250" s="355"/>
      <c r="G250" s="356"/>
      <c r="H250" s="356"/>
      <c r="I250" s="356"/>
      <c r="J250" s="356"/>
      <c r="K250" s="357"/>
      <c r="L250" s="153"/>
      <c r="M250" s="153"/>
      <c r="N250" s="153"/>
      <c r="O250" s="153"/>
      <c r="P250" s="153"/>
      <c r="Q250" s="153"/>
      <c r="R250" s="153"/>
      <c r="S250" s="153"/>
      <c r="T250" s="153"/>
      <c r="V250" s="154"/>
      <c r="W250" s="154"/>
      <c r="X250" s="154"/>
    </row>
    <row r="251" spans="5:24" s="149" customFormat="1" x14ac:dyDescent="0.25">
      <c r="E251" s="171"/>
      <c r="F251" s="355"/>
      <c r="G251" s="356"/>
      <c r="H251" s="356"/>
      <c r="I251" s="356"/>
      <c r="J251" s="356"/>
      <c r="K251" s="357"/>
      <c r="L251" s="153"/>
      <c r="M251" s="153"/>
      <c r="N251" s="153"/>
      <c r="O251" s="153"/>
      <c r="P251" s="153"/>
      <c r="Q251" s="153"/>
      <c r="R251" s="153"/>
      <c r="S251" s="153"/>
      <c r="T251" s="153"/>
      <c r="V251" s="154"/>
      <c r="W251" s="154"/>
      <c r="X251" s="154"/>
    </row>
    <row r="252" spans="5:24" s="149" customFormat="1" x14ac:dyDescent="0.25">
      <c r="E252" s="171"/>
      <c r="F252" s="355"/>
      <c r="G252" s="356"/>
      <c r="H252" s="356"/>
      <c r="I252" s="356"/>
      <c r="J252" s="356"/>
      <c r="K252" s="357"/>
      <c r="L252" s="153"/>
      <c r="M252" s="153"/>
      <c r="N252" s="153"/>
      <c r="O252" s="153"/>
      <c r="P252" s="153"/>
      <c r="Q252" s="153"/>
      <c r="R252" s="153"/>
      <c r="S252" s="153"/>
      <c r="T252" s="153"/>
      <c r="V252" s="154"/>
      <c r="W252" s="154"/>
      <c r="X252" s="154"/>
    </row>
    <row r="253" spans="5:24" s="149" customFormat="1" x14ac:dyDescent="0.25">
      <c r="E253" s="171"/>
      <c r="F253" s="355"/>
      <c r="G253" s="356"/>
      <c r="H253" s="356"/>
      <c r="I253" s="356"/>
      <c r="J253" s="356"/>
      <c r="K253" s="357"/>
      <c r="L253" s="153"/>
      <c r="M253" s="153"/>
      <c r="N253" s="153"/>
      <c r="O253" s="153"/>
      <c r="P253" s="153"/>
      <c r="Q253" s="153"/>
      <c r="R253" s="153"/>
      <c r="S253" s="153"/>
      <c r="T253" s="153"/>
      <c r="V253" s="154"/>
      <c r="W253" s="154"/>
      <c r="X253" s="154"/>
    </row>
    <row r="254" spans="5:24" s="149" customFormat="1" x14ac:dyDescent="0.25">
      <c r="E254" s="171"/>
      <c r="F254" s="355"/>
      <c r="G254" s="356"/>
      <c r="H254" s="356"/>
      <c r="I254" s="356"/>
      <c r="J254" s="356"/>
      <c r="K254" s="357"/>
      <c r="L254" s="153"/>
      <c r="M254" s="153"/>
      <c r="N254" s="153"/>
      <c r="O254" s="153"/>
      <c r="P254" s="153"/>
      <c r="Q254" s="153"/>
      <c r="R254" s="153"/>
      <c r="S254" s="153"/>
      <c r="T254" s="153"/>
      <c r="V254" s="154"/>
      <c r="W254" s="154"/>
      <c r="X254" s="154"/>
    </row>
    <row r="255" spans="5:24" s="149" customFormat="1" x14ac:dyDescent="0.25">
      <c r="E255" s="171"/>
      <c r="F255" s="355"/>
      <c r="G255" s="356"/>
      <c r="H255" s="356"/>
      <c r="I255" s="356"/>
      <c r="J255" s="356"/>
      <c r="K255" s="357"/>
      <c r="L255" s="153"/>
      <c r="M255" s="153"/>
      <c r="N255" s="153"/>
      <c r="O255" s="153"/>
      <c r="P255" s="153"/>
      <c r="Q255" s="153"/>
      <c r="R255" s="153"/>
      <c r="S255" s="153"/>
      <c r="T255" s="153"/>
      <c r="V255" s="154"/>
      <c r="W255" s="154"/>
      <c r="X255" s="154"/>
    </row>
    <row r="256" spans="5:24" s="149" customFormat="1" x14ac:dyDescent="0.25">
      <c r="E256" s="171"/>
      <c r="F256" s="355"/>
      <c r="G256" s="356"/>
      <c r="H256" s="356"/>
      <c r="I256" s="356"/>
      <c r="J256" s="356"/>
      <c r="K256" s="357"/>
      <c r="L256" s="153"/>
      <c r="M256" s="153"/>
      <c r="N256" s="153"/>
      <c r="O256" s="153"/>
      <c r="P256" s="153"/>
      <c r="Q256" s="153"/>
      <c r="R256" s="153"/>
      <c r="S256" s="153"/>
      <c r="T256" s="153"/>
      <c r="V256" s="154"/>
      <c r="W256" s="154"/>
      <c r="X256" s="154"/>
    </row>
    <row r="257" spans="5:24" s="149" customFormat="1" x14ac:dyDescent="0.25">
      <c r="E257" s="171"/>
      <c r="F257" s="355"/>
      <c r="G257" s="356"/>
      <c r="H257" s="356"/>
      <c r="I257" s="356"/>
      <c r="J257" s="356"/>
      <c r="K257" s="357"/>
      <c r="L257" s="153"/>
      <c r="M257" s="153"/>
      <c r="N257" s="153"/>
      <c r="O257" s="153"/>
      <c r="P257" s="153"/>
      <c r="Q257" s="153"/>
      <c r="R257" s="153"/>
      <c r="S257" s="153"/>
      <c r="T257" s="153"/>
      <c r="V257" s="154"/>
      <c r="W257" s="154"/>
      <c r="X257" s="154"/>
    </row>
    <row r="258" spans="5:24" s="149" customFormat="1" x14ac:dyDescent="0.25">
      <c r="E258" s="171"/>
      <c r="F258" s="355"/>
      <c r="G258" s="356"/>
      <c r="H258" s="356"/>
      <c r="I258" s="356"/>
      <c r="J258" s="356"/>
      <c r="K258" s="357"/>
      <c r="L258" s="153"/>
      <c r="M258" s="153"/>
      <c r="N258" s="153"/>
      <c r="O258" s="153"/>
      <c r="P258" s="153"/>
      <c r="Q258" s="153"/>
      <c r="R258" s="153"/>
      <c r="S258" s="153"/>
      <c r="T258" s="153"/>
      <c r="V258" s="154"/>
      <c r="W258" s="154"/>
      <c r="X258" s="154"/>
    </row>
    <row r="259" spans="5:24" s="149" customFormat="1" x14ac:dyDescent="0.25">
      <c r="E259" s="171"/>
      <c r="F259" s="355"/>
      <c r="G259" s="356"/>
      <c r="H259" s="356"/>
      <c r="I259" s="356"/>
      <c r="J259" s="356"/>
      <c r="K259" s="357"/>
      <c r="L259" s="153"/>
      <c r="M259" s="153"/>
      <c r="N259" s="153"/>
      <c r="O259" s="153"/>
      <c r="P259" s="153"/>
      <c r="Q259" s="153"/>
      <c r="R259" s="153"/>
      <c r="S259" s="153"/>
      <c r="T259" s="153"/>
      <c r="V259" s="154"/>
      <c r="W259" s="154"/>
      <c r="X259" s="154"/>
    </row>
    <row r="260" spans="5:24" s="149" customFormat="1" x14ac:dyDescent="0.25">
      <c r="E260" s="171"/>
      <c r="F260" s="355"/>
      <c r="G260" s="356"/>
      <c r="H260" s="356"/>
      <c r="I260" s="356"/>
      <c r="J260" s="356"/>
      <c r="K260" s="357"/>
      <c r="L260" s="153"/>
      <c r="M260" s="153"/>
      <c r="N260" s="153"/>
      <c r="O260" s="153"/>
      <c r="P260" s="153"/>
      <c r="Q260" s="153"/>
      <c r="R260" s="153"/>
      <c r="S260" s="153"/>
      <c r="T260" s="153"/>
      <c r="V260" s="154"/>
      <c r="W260" s="154"/>
      <c r="X260" s="154"/>
    </row>
    <row r="261" spans="5:24" s="149" customFormat="1" x14ac:dyDescent="0.25">
      <c r="E261" s="171"/>
      <c r="F261" s="355"/>
      <c r="G261" s="356"/>
      <c r="H261" s="356"/>
      <c r="I261" s="356"/>
      <c r="J261" s="356"/>
      <c r="K261" s="357"/>
      <c r="L261" s="153"/>
      <c r="M261" s="153"/>
      <c r="N261" s="153"/>
      <c r="O261" s="153"/>
      <c r="P261" s="153"/>
      <c r="Q261" s="153"/>
      <c r="R261" s="153"/>
      <c r="S261" s="153"/>
      <c r="T261" s="153"/>
      <c r="V261" s="154"/>
      <c r="W261" s="154"/>
      <c r="X261" s="154"/>
    </row>
    <row r="262" spans="5:24" s="149" customFormat="1" x14ac:dyDescent="0.25">
      <c r="E262" s="171"/>
      <c r="F262" s="355"/>
      <c r="G262" s="356"/>
      <c r="H262" s="356"/>
      <c r="I262" s="356"/>
      <c r="J262" s="356"/>
      <c r="K262" s="357"/>
      <c r="L262" s="153"/>
      <c r="M262" s="153"/>
      <c r="N262" s="153"/>
      <c r="O262" s="153"/>
      <c r="P262" s="153"/>
      <c r="Q262" s="153"/>
      <c r="R262" s="153"/>
      <c r="S262" s="153"/>
      <c r="T262" s="153"/>
      <c r="V262" s="154"/>
      <c r="W262" s="154"/>
      <c r="X262" s="154"/>
    </row>
    <row r="263" spans="5:24" s="149" customFormat="1" x14ac:dyDescent="0.25">
      <c r="E263" s="171"/>
      <c r="F263" s="355"/>
      <c r="G263" s="356"/>
      <c r="H263" s="356"/>
      <c r="I263" s="356"/>
      <c r="J263" s="356"/>
      <c r="K263" s="357"/>
      <c r="L263" s="153"/>
      <c r="M263" s="153"/>
      <c r="N263" s="153"/>
      <c r="O263" s="153"/>
      <c r="P263" s="153"/>
      <c r="Q263" s="153"/>
      <c r="R263" s="153"/>
      <c r="S263" s="153"/>
      <c r="T263" s="153"/>
      <c r="V263" s="154"/>
      <c r="W263" s="154"/>
      <c r="X263" s="154"/>
    </row>
    <row r="264" spans="5:24" s="149" customFormat="1" x14ac:dyDescent="0.25">
      <c r="E264" s="171"/>
      <c r="F264" s="355"/>
      <c r="G264" s="356"/>
      <c r="H264" s="356"/>
      <c r="I264" s="356"/>
      <c r="J264" s="356"/>
      <c r="K264" s="357"/>
      <c r="L264" s="153"/>
      <c r="M264" s="153"/>
      <c r="N264" s="153"/>
      <c r="O264" s="153"/>
      <c r="P264" s="153"/>
      <c r="Q264" s="153"/>
      <c r="R264" s="153"/>
      <c r="S264" s="153"/>
      <c r="T264" s="153"/>
      <c r="V264" s="154"/>
      <c r="W264" s="154"/>
      <c r="X264" s="154"/>
    </row>
    <row r="265" spans="5:24" s="149" customFormat="1" x14ac:dyDescent="0.25">
      <c r="E265" s="171"/>
      <c r="F265" s="355"/>
      <c r="G265" s="356"/>
      <c r="H265" s="356"/>
      <c r="I265" s="356"/>
      <c r="J265" s="356"/>
      <c r="K265" s="357"/>
      <c r="L265" s="153"/>
      <c r="M265" s="153"/>
      <c r="N265" s="153"/>
      <c r="O265" s="153"/>
      <c r="P265" s="153"/>
      <c r="Q265" s="153"/>
      <c r="R265" s="153"/>
      <c r="S265" s="153"/>
      <c r="T265" s="153"/>
      <c r="V265" s="154"/>
      <c r="W265" s="154"/>
      <c r="X265" s="154"/>
    </row>
    <row r="266" spans="5:24" s="149" customFormat="1" x14ac:dyDescent="0.25">
      <c r="E266" s="171"/>
      <c r="F266" s="355"/>
      <c r="G266" s="356"/>
      <c r="H266" s="356"/>
      <c r="I266" s="356"/>
      <c r="J266" s="356"/>
      <c r="K266" s="357"/>
      <c r="L266" s="153"/>
      <c r="M266" s="153"/>
      <c r="N266" s="153"/>
      <c r="O266" s="153"/>
      <c r="P266" s="153"/>
      <c r="Q266" s="153"/>
      <c r="R266" s="153"/>
      <c r="S266" s="153"/>
      <c r="T266" s="153"/>
      <c r="V266" s="154"/>
      <c r="W266" s="154"/>
      <c r="X266" s="154"/>
    </row>
    <row r="267" spans="5:24" s="149" customFormat="1" x14ac:dyDescent="0.25">
      <c r="E267" s="171"/>
      <c r="F267" s="355"/>
      <c r="G267" s="356"/>
      <c r="H267" s="356"/>
      <c r="I267" s="356"/>
      <c r="J267" s="356"/>
      <c r="K267" s="357"/>
      <c r="L267" s="153"/>
      <c r="M267" s="153"/>
      <c r="N267" s="153"/>
      <c r="O267" s="153"/>
      <c r="P267" s="153"/>
      <c r="Q267" s="153"/>
      <c r="R267" s="153"/>
      <c r="S267" s="153"/>
      <c r="T267" s="153"/>
      <c r="V267" s="154"/>
      <c r="W267" s="154"/>
      <c r="X267" s="154"/>
    </row>
    <row r="268" spans="5:24" s="149" customFormat="1" x14ac:dyDescent="0.25">
      <c r="E268" s="171"/>
      <c r="F268" s="355"/>
      <c r="G268" s="356"/>
      <c r="H268" s="356"/>
      <c r="I268" s="356"/>
      <c r="J268" s="356"/>
      <c r="K268" s="357"/>
      <c r="L268" s="153"/>
      <c r="M268" s="153"/>
      <c r="N268" s="153"/>
      <c r="O268" s="153"/>
      <c r="P268" s="153"/>
      <c r="Q268" s="153"/>
      <c r="R268" s="153"/>
      <c r="S268" s="153"/>
      <c r="T268" s="153"/>
      <c r="V268" s="154"/>
      <c r="W268" s="154"/>
      <c r="X268" s="154"/>
    </row>
    <row r="269" spans="5:24" s="149" customFormat="1" x14ac:dyDescent="0.25">
      <c r="E269" s="171"/>
      <c r="F269" s="355"/>
      <c r="G269" s="356"/>
      <c r="H269" s="356"/>
      <c r="I269" s="356"/>
      <c r="J269" s="356"/>
      <c r="K269" s="357"/>
      <c r="L269" s="153"/>
      <c r="M269" s="153"/>
      <c r="N269" s="153"/>
      <c r="O269" s="153"/>
      <c r="P269" s="153"/>
      <c r="Q269" s="153"/>
      <c r="R269" s="153"/>
      <c r="S269" s="153"/>
      <c r="T269" s="153"/>
      <c r="V269" s="154"/>
      <c r="W269" s="154"/>
      <c r="X269" s="154"/>
    </row>
    <row r="270" spans="5:24" s="149" customFormat="1" x14ac:dyDescent="0.25">
      <c r="E270" s="171"/>
      <c r="F270" s="355"/>
      <c r="G270" s="356"/>
      <c r="H270" s="356"/>
      <c r="I270" s="356"/>
      <c r="J270" s="356"/>
      <c r="K270" s="357"/>
      <c r="L270" s="153"/>
      <c r="M270" s="153"/>
      <c r="N270" s="153"/>
      <c r="O270" s="153"/>
      <c r="P270" s="153"/>
      <c r="Q270" s="153"/>
      <c r="R270" s="153"/>
      <c r="S270" s="153"/>
      <c r="T270" s="153"/>
      <c r="V270" s="154"/>
      <c r="W270" s="154"/>
      <c r="X270" s="154"/>
    </row>
    <row r="271" spans="5:24" s="149" customFormat="1" x14ac:dyDescent="0.25">
      <c r="E271" s="171"/>
      <c r="F271" s="355"/>
      <c r="G271" s="356"/>
      <c r="H271" s="356"/>
      <c r="I271" s="356"/>
      <c r="J271" s="356"/>
      <c r="K271" s="357"/>
      <c r="L271" s="153"/>
      <c r="M271" s="153"/>
      <c r="N271" s="153"/>
      <c r="O271" s="153"/>
      <c r="P271" s="153"/>
      <c r="Q271" s="153"/>
      <c r="R271" s="153"/>
      <c r="S271" s="153"/>
      <c r="T271" s="153"/>
      <c r="V271" s="154"/>
      <c r="W271" s="154"/>
      <c r="X271" s="154"/>
    </row>
    <row r="272" spans="5:24" s="149" customFormat="1" x14ac:dyDescent="0.25">
      <c r="E272" s="171"/>
      <c r="F272" s="355"/>
      <c r="G272" s="356"/>
      <c r="H272" s="356"/>
      <c r="I272" s="356"/>
      <c r="J272" s="356"/>
      <c r="K272" s="357"/>
      <c r="L272" s="153"/>
      <c r="M272" s="153"/>
      <c r="N272" s="153"/>
      <c r="O272" s="153"/>
      <c r="P272" s="153"/>
      <c r="Q272" s="153"/>
      <c r="R272" s="153"/>
      <c r="S272" s="153"/>
      <c r="T272" s="153"/>
      <c r="V272" s="154"/>
      <c r="W272" s="154"/>
      <c r="X272" s="154"/>
    </row>
    <row r="273" spans="5:24" s="149" customFormat="1" x14ac:dyDescent="0.25">
      <c r="E273" s="171"/>
      <c r="F273" s="355"/>
      <c r="G273" s="356"/>
      <c r="H273" s="356"/>
      <c r="I273" s="356"/>
      <c r="J273" s="356"/>
      <c r="K273" s="357"/>
      <c r="L273" s="153"/>
      <c r="M273" s="153"/>
      <c r="N273" s="153"/>
      <c r="O273" s="153"/>
      <c r="P273" s="153"/>
      <c r="Q273" s="153"/>
      <c r="R273" s="153"/>
      <c r="S273" s="153"/>
      <c r="T273" s="153"/>
      <c r="V273" s="154"/>
      <c r="W273" s="154"/>
      <c r="X273" s="154"/>
    </row>
    <row r="274" spans="5:24" s="149" customFormat="1" x14ac:dyDescent="0.25">
      <c r="E274" s="171"/>
      <c r="F274" s="355"/>
      <c r="G274" s="356"/>
      <c r="H274" s="356"/>
      <c r="I274" s="356"/>
      <c r="J274" s="356"/>
      <c r="K274" s="357"/>
      <c r="L274" s="153"/>
      <c r="M274" s="153"/>
      <c r="N274" s="153"/>
      <c r="O274" s="153"/>
      <c r="P274" s="153"/>
      <c r="Q274" s="153"/>
      <c r="R274" s="153"/>
      <c r="S274" s="153"/>
      <c r="T274" s="153"/>
      <c r="V274" s="154"/>
      <c r="W274" s="154"/>
      <c r="X274" s="154"/>
    </row>
    <row r="275" spans="5:24" s="149" customFormat="1" x14ac:dyDescent="0.25">
      <c r="E275" s="171"/>
      <c r="F275" s="355"/>
      <c r="G275" s="356"/>
      <c r="H275" s="356"/>
      <c r="I275" s="356"/>
      <c r="J275" s="356"/>
      <c r="K275" s="357"/>
      <c r="L275" s="153"/>
      <c r="M275" s="153"/>
      <c r="N275" s="153"/>
      <c r="O275" s="153"/>
      <c r="P275" s="153"/>
      <c r="Q275" s="153"/>
      <c r="R275" s="153"/>
      <c r="S275" s="153"/>
      <c r="T275" s="153"/>
      <c r="V275" s="154"/>
      <c r="W275" s="154"/>
      <c r="X275" s="154"/>
    </row>
    <row r="276" spans="5:24" s="149" customFormat="1" x14ac:dyDescent="0.25">
      <c r="E276" s="171"/>
      <c r="F276" s="355"/>
      <c r="G276" s="356"/>
      <c r="H276" s="356"/>
      <c r="I276" s="356"/>
      <c r="J276" s="356"/>
      <c r="K276" s="357"/>
      <c r="L276" s="153"/>
      <c r="M276" s="153"/>
      <c r="N276" s="153"/>
      <c r="O276" s="153"/>
      <c r="P276" s="153"/>
      <c r="Q276" s="153"/>
      <c r="R276" s="153"/>
      <c r="S276" s="153"/>
      <c r="T276" s="153"/>
      <c r="V276" s="154"/>
      <c r="W276" s="154"/>
      <c r="X276" s="154"/>
    </row>
    <row r="277" spans="5:24" s="149" customFormat="1" x14ac:dyDescent="0.25">
      <c r="E277" s="171"/>
      <c r="F277" s="355"/>
      <c r="G277" s="356"/>
      <c r="H277" s="356"/>
      <c r="I277" s="356"/>
      <c r="J277" s="356"/>
      <c r="K277" s="357"/>
      <c r="L277" s="153"/>
      <c r="M277" s="153"/>
      <c r="N277" s="153"/>
      <c r="O277" s="153"/>
      <c r="P277" s="153"/>
      <c r="Q277" s="153"/>
      <c r="R277" s="153"/>
      <c r="S277" s="153"/>
      <c r="T277" s="153"/>
      <c r="V277" s="154"/>
      <c r="W277" s="154"/>
      <c r="X277" s="154"/>
    </row>
    <row r="278" spans="5:24" s="149" customFormat="1" x14ac:dyDescent="0.25">
      <c r="E278" s="171"/>
      <c r="F278" s="355"/>
      <c r="G278" s="356"/>
      <c r="H278" s="356"/>
      <c r="I278" s="356"/>
      <c r="J278" s="356"/>
      <c r="K278" s="357"/>
      <c r="L278" s="153"/>
      <c r="M278" s="153"/>
      <c r="N278" s="153"/>
      <c r="O278" s="153"/>
      <c r="P278" s="153"/>
      <c r="Q278" s="153"/>
      <c r="R278" s="153"/>
      <c r="S278" s="153"/>
      <c r="T278" s="153"/>
      <c r="V278" s="154"/>
      <c r="W278" s="154"/>
      <c r="X278" s="154"/>
    </row>
    <row r="279" spans="5:24" s="149" customFormat="1" x14ac:dyDescent="0.25">
      <c r="E279" s="171"/>
      <c r="F279" s="355"/>
      <c r="G279" s="356"/>
      <c r="H279" s="356"/>
      <c r="I279" s="356"/>
      <c r="J279" s="356"/>
      <c r="K279" s="357"/>
      <c r="L279" s="153"/>
      <c r="M279" s="153"/>
      <c r="N279" s="153"/>
      <c r="O279" s="153"/>
      <c r="P279" s="153"/>
      <c r="Q279" s="153"/>
      <c r="R279" s="153"/>
      <c r="S279" s="153"/>
      <c r="T279" s="153"/>
      <c r="V279" s="154"/>
      <c r="W279" s="154"/>
      <c r="X279" s="154"/>
    </row>
    <row r="280" spans="5:24" s="149" customFormat="1" x14ac:dyDescent="0.25">
      <c r="E280" s="171"/>
      <c r="F280" s="355"/>
      <c r="G280" s="356"/>
      <c r="H280" s="356"/>
      <c r="I280" s="356"/>
      <c r="J280" s="356"/>
      <c r="K280" s="357"/>
      <c r="L280" s="153"/>
      <c r="M280" s="153"/>
      <c r="N280" s="153"/>
      <c r="O280" s="153"/>
      <c r="P280" s="153"/>
      <c r="Q280" s="153"/>
      <c r="R280" s="153"/>
      <c r="S280" s="153"/>
      <c r="T280" s="153"/>
      <c r="V280" s="154"/>
      <c r="W280" s="154"/>
      <c r="X280" s="154"/>
    </row>
    <row r="281" spans="5:24" s="149" customFormat="1" x14ac:dyDescent="0.25">
      <c r="E281" s="171"/>
      <c r="F281" s="355"/>
      <c r="G281" s="356"/>
      <c r="H281" s="356"/>
      <c r="I281" s="356"/>
      <c r="J281" s="356"/>
      <c r="K281" s="357"/>
      <c r="L281" s="153"/>
      <c r="M281" s="153"/>
      <c r="N281" s="153"/>
      <c r="O281" s="153"/>
      <c r="P281" s="153"/>
      <c r="Q281" s="153"/>
      <c r="R281" s="153"/>
      <c r="S281" s="153"/>
      <c r="T281" s="153"/>
      <c r="V281" s="154"/>
      <c r="W281" s="154"/>
      <c r="X281" s="154"/>
    </row>
    <row r="282" spans="5:24" s="149" customFormat="1" x14ac:dyDescent="0.25">
      <c r="E282" s="171"/>
      <c r="F282" s="355"/>
      <c r="G282" s="356"/>
      <c r="H282" s="356"/>
      <c r="I282" s="356"/>
      <c r="J282" s="356"/>
      <c r="K282" s="357"/>
      <c r="L282" s="153"/>
      <c r="M282" s="153"/>
      <c r="N282" s="153"/>
      <c r="O282" s="153"/>
      <c r="P282" s="153"/>
      <c r="Q282" s="153"/>
      <c r="R282" s="153"/>
      <c r="S282" s="153"/>
      <c r="T282" s="153"/>
      <c r="V282" s="154"/>
      <c r="W282" s="154"/>
      <c r="X282" s="154"/>
    </row>
    <row r="283" spans="5:24" s="149" customFormat="1" x14ac:dyDescent="0.25">
      <c r="E283" s="171"/>
      <c r="F283" s="355"/>
      <c r="G283" s="356"/>
      <c r="H283" s="356"/>
      <c r="I283" s="356"/>
      <c r="J283" s="356"/>
      <c r="K283" s="357"/>
      <c r="L283" s="153"/>
      <c r="M283" s="153"/>
      <c r="N283" s="153"/>
      <c r="O283" s="153"/>
      <c r="P283" s="153"/>
      <c r="Q283" s="153"/>
      <c r="R283" s="153"/>
      <c r="S283" s="153"/>
      <c r="T283" s="153"/>
      <c r="V283" s="154"/>
      <c r="W283" s="154"/>
      <c r="X283" s="154"/>
    </row>
    <row r="284" spans="5:24" s="149" customFormat="1" x14ac:dyDescent="0.25">
      <c r="E284" s="171"/>
      <c r="F284" s="355"/>
      <c r="G284" s="356"/>
      <c r="H284" s="356"/>
      <c r="I284" s="356"/>
      <c r="J284" s="356"/>
      <c r="K284" s="357"/>
      <c r="L284" s="153"/>
      <c r="M284" s="153"/>
      <c r="N284" s="153"/>
      <c r="O284" s="153"/>
      <c r="P284" s="153"/>
      <c r="Q284" s="153"/>
      <c r="R284" s="153"/>
      <c r="S284" s="153"/>
      <c r="T284" s="153"/>
      <c r="V284" s="154"/>
      <c r="W284" s="154"/>
      <c r="X284" s="154"/>
    </row>
    <row r="285" spans="5:24" s="149" customFormat="1" x14ac:dyDescent="0.25">
      <c r="E285" s="171"/>
      <c r="F285" s="355"/>
      <c r="G285" s="356"/>
      <c r="H285" s="356"/>
      <c r="I285" s="356"/>
      <c r="J285" s="356"/>
      <c r="K285" s="357"/>
      <c r="L285" s="153"/>
      <c r="M285" s="153"/>
      <c r="N285" s="153"/>
      <c r="O285" s="153"/>
      <c r="P285" s="153"/>
      <c r="Q285" s="153"/>
      <c r="R285" s="153"/>
      <c r="S285" s="153"/>
      <c r="T285" s="153"/>
      <c r="V285" s="154"/>
      <c r="W285" s="154"/>
      <c r="X285" s="154"/>
    </row>
    <row r="286" spans="5:24" s="149" customFormat="1" x14ac:dyDescent="0.25">
      <c r="E286" s="171"/>
      <c r="F286" s="355"/>
      <c r="G286" s="356"/>
      <c r="H286" s="356"/>
      <c r="I286" s="356"/>
      <c r="J286" s="356"/>
      <c r="K286" s="357"/>
      <c r="L286" s="153"/>
      <c r="M286" s="153"/>
      <c r="N286" s="153"/>
      <c r="O286" s="153"/>
      <c r="P286" s="153"/>
      <c r="Q286" s="153"/>
      <c r="R286" s="153"/>
      <c r="S286" s="153"/>
      <c r="T286" s="153"/>
      <c r="V286" s="154"/>
      <c r="W286" s="154"/>
      <c r="X286" s="154"/>
    </row>
    <row r="287" spans="5:24" s="149" customFormat="1" x14ac:dyDescent="0.25">
      <c r="E287" s="171"/>
      <c r="F287" s="355"/>
      <c r="G287" s="356"/>
      <c r="H287" s="356"/>
      <c r="I287" s="356"/>
      <c r="J287" s="356"/>
      <c r="K287" s="357"/>
      <c r="L287" s="153"/>
      <c r="M287" s="153"/>
      <c r="N287" s="153"/>
      <c r="O287" s="153"/>
      <c r="P287" s="153"/>
      <c r="Q287" s="153"/>
      <c r="R287" s="153"/>
      <c r="S287" s="153"/>
      <c r="T287" s="153"/>
      <c r="V287" s="154"/>
      <c r="W287" s="154"/>
      <c r="X287" s="154"/>
    </row>
    <row r="288" spans="5:24" s="149" customFormat="1" x14ac:dyDescent="0.25">
      <c r="E288" s="171"/>
      <c r="F288" s="355"/>
      <c r="G288" s="356"/>
      <c r="H288" s="356"/>
      <c r="I288" s="356"/>
      <c r="J288" s="356"/>
      <c r="K288" s="357"/>
      <c r="L288" s="153"/>
      <c r="M288" s="153"/>
      <c r="N288" s="153"/>
      <c r="O288" s="153"/>
      <c r="P288" s="153"/>
      <c r="Q288" s="153"/>
      <c r="R288" s="153"/>
      <c r="S288" s="153"/>
      <c r="T288" s="153"/>
      <c r="V288" s="154"/>
      <c r="W288" s="154"/>
      <c r="X288" s="154"/>
    </row>
    <row r="289" spans="5:24" s="149" customFormat="1" x14ac:dyDescent="0.25">
      <c r="E289" s="171"/>
      <c r="F289" s="355"/>
      <c r="G289" s="356"/>
      <c r="H289" s="356"/>
      <c r="I289" s="356"/>
      <c r="J289" s="356"/>
      <c r="K289" s="357"/>
      <c r="L289" s="153"/>
      <c r="M289" s="153"/>
      <c r="N289" s="153"/>
      <c r="O289" s="153"/>
      <c r="P289" s="153"/>
      <c r="Q289" s="153"/>
      <c r="R289" s="153"/>
      <c r="S289" s="153"/>
      <c r="T289" s="153"/>
      <c r="V289" s="154"/>
      <c r="W289" s="154"/>
      <c r="X289" s="154"/>
    </row>
    <row r="290" spans="5:24" s="149" customFormat="1" x14ac:dyDescent="0.25">
      <c r="E290" s="171"/>
      <c r="F290" s="355"/>
      <c r="G290" s="356"/>
      <c r="H290" s="356"/>
      <c r="I290" s="356"/>
      <c r="J290" s="356"/>
      <c r="K290" s="357"/>
      <c r="L290" s="153"/>
      <c r="M290" s="153"/>
      <c r="N290" s="153"/>
      <c r="O290" s="153"/>
      <c r="P290" s="153"/>
      <c r="Q290" s="153"/>
      <c r="R290" s="153"/>
      <c r="S290" s="153"/>
      <c r="T290" s="153"/>
      <c r="V290" s="154"/>
      <c r="W290" s="154"/>
      <c r="X290" s="154"/>
    </row>
    <row r="291" spans="5:24" s="149" customFormat="1" x14ac:dyDescent="0.25">
      <c r="E291" s="171"/>
      <c r="F291" s="355"/>
      <c r="G291" s="356"/>
      <c r="H291" s="356"/>
      <c r="I291" s="356"/>
      <c r="J291" s="356"/>
      <c r="K291" s="357"/>
      <c r="L291" s="153"/>
      <c r="M291" s="153"/>
      <c r="N291" s="153"/>
      <c r="O291" s="153"/>
      <c r="P291" s="153"/>
      <c r="Q291" s="153"/>
      <c r="R291" s="153"/>
      <c r="S291" s="153"/>
      <c r="T291" s="153"/>
      <c r="V291" s="154"/>
      <c r="W291" s="154"/>
      <c r="X291" s="154"/>
    </row>
    <row r="292" spans="5:24" s="149" customFormat="1" x14ac:dyDescent="0.25">
      <c r="E292" s="171"/>
      <c r="F292" s="355"/>
      <c r="G292" s="356"/>
      <c r="H292" s="356"/>
      <c r="I292" s="356"/>
      <c r="J292" s="356"/>
      <c r="K292" s="357"/>
      <c r="L292" s="153"/>
      <c r="M292" s="153"/>
      <c r="N292" s="153"/>
      <c r="O292" s="153"/>
      <c r="P292" s="153"/>
      <c r="Q292" s="153"/>
      <c r="R292" s="153"/>
      <c r="S292" s="153"/>
      <c r="T292" s="153"/>
      <c r="V292" s="154"/>
      <c r="W292" s="154"/>
      <c r="X292" s="154"/>
    </row>
    <row r="293" spans="5:24" s="149" customFormat="1" x14ac:dyDescent="0.25">
      <c r="E293" s="171"/>
      <c r="F293" s="355"/>
      <c r="G293" s="356"/>
      <c r="H293" s="356"/>
      <c r="I293" s="356"/>
      <c r="J293" s="356"/>
      <c r="K293" s="357"/>
      <c r="L293" s="153"/>
      <c r="M293" s="153"/>
      <c r="N293" s="153"/>
      <c r="O293" s="153"/>
      <c r="P293" s="153"/>
      <c r="Q293" s="153"/>
      <c r="R293" s="153"/>
      <c r="S293" s="153"/>
      <c r="T293" s="153"/>
      <c r="V293" s="154"/>
      <c r="W293" s="154"/>
      <c r="X293" s="154"/>
    </row>
    <row r="294" spans="5:24" s="149" customFormat="1" x14ac:dyDescent="0.25">
      <c r="E294" s="171"/>
      <c r="F294" s="355"/>
      <c r="G294" s="356"/>
      <c r="H294" s="356"/>
      <c r="I294" s="356"/>
      <c r="J294" s="356"/>
      <c r="K294" s="357"/>
      <c r="L294" s="153"/>
      <c r="M294" s="153"/>
      <c r="N294" s="153"/>
      <c r="O294" s="153"/>
      <c r="P294" s="153"/>
      <c r="Q294" s="153"/>
      <c r="R294" s="153"/>
      <c r="S294" s="153"/>
      <c r="T294" s="153"/>
      <c r="V294" s="154"/>
      <c r="W294" s="154"/>
      <c r="X294" s="154"/>
    </row>
    <row r="295" spans="5:24" s="149" customFormat="1" x14ac:dyDescent="0.25">
      <c r="E295" s="171"/>
      <c r="F295" s="355"/>
      <c r="G295" s="356"/>
      <c r="H295" s="356"/>
      <c r="I295" s="356"/>
      <c r="J295" s="356"/>
      <c r="K295" s="357"/>
      <c r="L295" s="153"/>
      <c r="M295" s="153"/>
      <c r="N295" s="153"/>
      <c r="O295" s="153"/>
      <c r="P295" s="153"/>
      <c r="Q295" s="153"/>
      <c r="R295" s="153"/>
      <c r="S295" s="153"/>
      <c r="T295" s="153"/>
      <c r="V295" s="154"/>
      <c r="W295" s="154"/>
      <c r="X295" s="154"/>
    </row>
    <row r="296" spans="5:24" s="149" customFormat="1" x14ac:dyDescent="0.25">
      <c r="E296" s="171"/>
      <c r="F296" s="355"/>
      <c r="G296" s="356"/>
      <c r="H296" s="356"/>
      <c r="I296" s="356"/>
      <c r="J296" s="356"/>
      <c r="K296" s="357"/>
      <c r="L296" s="153"/>
      <c r="M296" s="153"/>
      <c r="N296" s="153"/>
      <c r="O296" s="153"/>
      <c r="P296" s="153"/>
      <c r="Q296" s="153"/>
      <c r="R296" s="153"/>
      <c r="S296" s="153"/>
      <c r="T296" s="153"/>
      <c r="V296" s="154"/>
      <c r="W296" s="154"/>
      <c r="X296" s="154"/>
    </row>
    <row r="297" spans="5:24" s="149" customFormat="1" x14ac:dyDescent="0.25">
      <c r="E297" s="171"/>
      <c r="F297" s="355"/>
      <c r="G297" s="356"/>
      <c r="H297" s="356"/>
      <c r="I297" s="356"/>
      <c r="J297" s="356"/>
      <c r="K297" s="357"/>
      <c r="L297" s="153"/>
      <c r="M297" s="153"/>
      <c r="N297" s="153"/>
      <c r="O297" s="153"/>
      <c r="P297" s="153"/>
      <c r="Q297" s="153"/>
      <c r="R297" s="153"/>
      <c r="S297" s="153"/>
      <c r="T297" s="153"/>
      <c r="V297" s="154"/>
      <c r="W297" s="154"/>
      <c r="X297" s="154"/>
    </row>
    <row r="298" spans="5:24" s="149" customFormat="1" x14ac:dyDescent="0.25">
      <c r="E298" s="171"/>
      <c r="F298" s="355"/>
      <c r="G298" s="356"/>
      <c r="H298" s="356"/>
      <c r="I298" s="356"/>
      <c r="J298" s="356"/>
      <c r="K298" s="357"/>
      <c r="L298" s="153"/>
      <c r="M298" s="153"/>
      <c r="N298" s="153"/>
      <c r="O298" s="153"/>
      <c r="P298" s="153"/>
      <c r="Q298" s="153"/>
      <c r="R298" s="153"/>
      <c r="S298" s="153"/>
      <c r="T298" s="153"/>
      <c r="V298" s="154"/>
      <c r="W298" s="154"/>
      <c r="X298" s="154"/>
    </row>
    <row r="299" spans="5:24" s="149" customFormat="1" x14ac:dyDescent="0.25">
      <c r="E299" s="171"/>
      <c r="F299" s="355"/>
      <c r="G299" s="356"/>
      <c r="H299" s="356"/>
      <c r="I299" s="356"/>
      <c r="J299" s="356"/>
      <c r="K299" s="357"/>
      <c r="L299" s="153"/>
      <c r="M299" s="153"/>
      <c r="N299" s="153"/>
      <c r="O299" s="153"/>
      <c r="P299" s="153"/>
      <c r="Q299" s="153"/>
      <c r="R299" s="153"/>
      <c r="S299" s="153"/>
      <c r="T299" s="153"/>
      <c r="V299" s="154"/>
      <c r="W299" s="154"/>
      <c r="X299" s="154"/>
    </row>
    <row r="300" spans="5:24" s="149" customFormat="1" x14ac:dyDescent="0.25">
      <c r="E300" s="171"/>
      <c r="F300" s="355"/>
      <c r="G300" s="356"/>
      <c r="H300" s="356"/>
      <c r="I300" s="356"/>
      <c r="J300" s="356"/>
      <c r="K300" s="357"/>
      <c r="L300" s="153"/>
      <c r="M300" s="153"/>
      <c r="N300" s="153"/>
      <c r="O300" s="153"/>
      <c r="P300" s="153"/>
      <c r="Q300" s="153"/>
      <c r="R300" s="153"/>
      <c r="S300" s="153"/>
      <c r="T300" s="153"/>
      <c r="V300" s="154"/>
      <c r="W300" s="154"/>
      <c r="X300" s="154"/>
    </row>
    <row r="301" spans="5:24" s="149" customFormat="1" x14ac:dyDescent="0.25">
      <c r="E301" s="171"/>
      <c r="F301" s="355"/>
      <c r="G301" s="356"/>
      <c r="H301" s="356"/>
      <c r="I301" s="356"/>
      <c r="J301" s="356"/>
      <c r="K301" s="357"/>
      <c r="L301" s="153"/>
      <c r="M301" s="153"/>
      <c r="N301" s="153"/>
      <c r="O301" s="153"/>
      <c r="P301" s="153"/>
      <c r="Q301" s="153"/>
      <c r="R301" s="153"/>
      <c r="S301" s="153"/>
      <c r="T301" s="153"/>
      <c r="V301" s="154"/>
      <c r="W301" s="154"/>
      <c r="X301" s="154"/>
    </row>
    <row r="302" spans="5:24" s="149" customFormat="1" x14ac:dyDescent="0.25">
      <c r="E302" s="171"/>
      <c r="F302" s="355"/>
      <c r="G302" s="356"/>
      <c r="H302" s="356"/>
      <c r="I302" s="356"/>
      <c r="J302" s="356"/>
      <c r="K302" s="357"/>
      <c r="L302" s="153"/>
      <c r="M302" s="153"/>
      <c r="N302" s="153"/>
      <c r="O302" s="153"/>
      <c r="P302" s="153"/>
      <c r="Q302" s="153"/>
      <c r="R302" s="153"/>
      <c r="S302" s="153"/>
      <c r="T302" s="153"/>
      <c r="V302" s="154"/>
      <c r="W302" s="154"/>
      <c r="X302" s="154"/>
    </row>
    <row r="303" spans="5:24" s="149" customFormat="1" x14ac:dyDescent="0.25">
      <c r="E303" s="171"/>
      <c r="F303" s="355"/>
      <c r="G303" s="356"/>
      <c r="H303" s="356"/>
      <c r="I303" s="356"/>
      <c r="J303" s="356"/>
      <c r="K303" s="357"/>
      <c r="L303" s="153"/>
      <c r="M303" s="153"/>
      <c r="N303" s="153"/>
      <c r="O303" s="153"/>
      <c r="P303" s="153"/>
      <c r="Q303" s="153"/>
      <c r="R303" s="153"/>
      <c r="S303" s="153"/>
      <c r="T303" s="153"/>
      <c r="V303" s="154"/>
      <c r="W303" s="154"/>
      <c r="X303" s="154"/>
    </row>
    <row r="304" spans="5:24" s="149" customFormat="1" x14ac:dyDescent="0.25">
      <c r="E304" s="171"/>
      <c r="F304" s="355"/>
      <c r="G304" s="356"/>
      <c r="H304" s="356"/>
      <c r="I304" s="356"/>
      <c r="J304" s="356"/>
      <c r="K304" s="357"/>
      <c r="L304" s="153"/>
      <c r="M304" s="153"/>
      <c r="N304" s="153"/>
      <c r="O304" s="153"/>
      <c r="P304" s="153"/>
      <c r="Q304" s="153"/>
      <c r="R304" s="153"/>
      <c r="S304" s="153"/>
      <c r="T304" s="153"/>
      <c r="V304" s="154"/>
      <c r="W304" s="154"/>
      <c r="X304" s="154"/>
    </row>
    <row r="305" spans="5:24" s="149" customFormat="1" x14ac:dyDescent="0.25">
      <c r="E305" s="171"/>
      <c r="F305" s="355"/>
      <c r="G305" s="356"/>
      <c r="H305" s="356"/>
      <c r="I305" s="356"/>
      <c r="J305" s="356"/>
      <c r="K305" s="357"/>
      <c r="L305" s="153"/>
      <c r="M305" s="153"/>
      <c r="N305" s="153"/>
      <c r="O305" s="153"/>
      <c r="P305" s="153"/>
      <c r="Q305" s="153"/>
      <c r="R305" s="153"/>
      <c r="S305" s="153"/>
      <c r="T305" s="153"/>
      <c r="V305" s="154"/>
      <c r="W305" s="154"/>
      <c r="X305" s="154"/>
    </row>
    <row r="306" spans="5:24" s="149" customFormat="1" x14ac:dyDescent="0.25">
      <c r="E306" s="171"/>
      <c r="F306" s="355"/>
      <c r="G306" s="356"/>
      <c r="H306" s="356"/>
      <c r="I306" s="356"/>
      <c r="J306" s="356"/>
      <c r="K306" s="357"/>
      <c r="L306" s="153"/>
      <c r="M306" s="153"/>
      <c r="N306" s="153"/>
      <c r="O306" s="153"/>
      <c r="P306" s="153"/>
      <c r="Q306" s="153"/>
      <c r="R306" s="153"/>
      <c r="S306" s="153"/>
      <c r="T306" s="153"/>
      <c r="V306" s="154"/>
      <c r="W306" s="154"/>
      <c r="X306" s="154"/>
    </row>
    <row r="307" spans="5:24" s="149" customFormat="1" x14ac:dyDescent="0.25">
      <c r="E307" s="171"/>
      <c r="F307" s="355"/>
      <c r="G307" s="356"/>
      <c r="H307" s="356"/>
      <c r="I307" s="356"/>
      <c r="J307" s="356"/>
      <c r="K307" s="357"/>
      <c r="L307" s="153"/>
      <c r="M307" s="153"/>
      <c r="N307" s="153"/>
      <c r="O307" s="153"/>
      <c r="P307" s="153"/>
      <c r="Q307" s="153"/>
      <c r="R307" s="153"/>
      <c r="S307" s="153"/>
      <c r="T307" s="153"/>
      <c r="V307" s="154"/>
      <c r="W307" s="154"/>
      <c r="X307" s="154"/>
    </row>
    <row r="308" spans="5:24" s="149" customFormat="1" x14ac:dyDescent="0.25">
      <c r="E308" s="171"/>
      <c r="F308" s="355"/>
      <c r="G308" s="356"/>
      <c r="H308" s="356"/>
      <c r="I308" s="356"/>
      <c r="J308" s="356"/>
      <c r="K308" s="357"/>
      <c r="L308" s="153"/>
      <c r="M308" s="153"/>
      <c r="N308" s="153"/>
      <c r="O308" s="153"/>
      <c r="P308" s="153"/>
      <c r="Q308" s="153"/>
      <c r="R308" s="153"/>
      <c r="S308" s="153"/>
      <c r="T308" s="153"/>
      <c r="V308" s="154"/>
      <c r="W308" s="154"/>
      <c r="X308" s="154"/>
    </row>
    <row r="309" spans="5:24" s="149" customFormat="1" x14ac:dyDescent="0.25">
      <c r="E309" s="171"/>
      <c r="F309" s="355"/>
      <c r="G309" s="356"/>
      <c r="H309" s="356"/>
      <c r="I309" s="356"/>
      <c r="J309" s="356"/>
      <c r="K309" s="357"/>
      <c r="L309" s="153"/>
      <c r="M309" s="153"/>
      <c r="N309" s="153"/>
      <c r="O309" s="153"/>
      <c r="P309" s="153"/>
      <c r="Q309" s="153"/>
      <c r="R309" s="153"/>
      <c r="S309" s="153"/>
      <c r="T309" s="153"/>
      <c r="V309" s="154"/>
      <c r="W309" s="154"/>
      <c r="X309" s="154"/>
    </row>
    <row r="310" spans="5:24" s="149" customFormat="1" x14ac:dyDescent="0.25">
      <c r="E310" s="171"/>
      <c r="F310" s="355"/>
      <c r="G310" s="356"/>
      <c r="H310" s="356"/>
      <c r="I310" s="356"/>
      <c r="J310" s="356"/>
      <c r="K310" s="357"/>
      <c r="L310" s="153"/>
      <c r="M310" s="153"/>
      <c r="N310" s="153"/>
      <c r="O310" s="153"/>
      <c r="P310" s="153"/>
      <c r="Q310" s="153"/>
      <c r="R310" s="153"/>
      <c r="S310" s="153"/>
      <c r="T310" s="153"/>
      <c r="V310" s="154"/>
      <c r="W310" s="154"/>
      <c r="X310" s="154"/>
    </row>
    <row r="311" spans="5:24" s="149" customFormat="1" x14ac:dyDescent="0.25">
      <c r="E311" s="171"/>
      <c r="F311" s="355"/>
      <c r="G311" s="356"/>
      <c r="H311" s="356"/>
      <c r="I311" s="356"/>
      <c r="J311" s="356"/>
      <c r="K311" s="357"/>
      <c r="L311" s="153"/>
      <c r="M311" s="153"/>
      <c r="N311" s="153"/>
      <c r="O311" s="153"/>
      <c r="P311" s="153"/>
      <c r="Q311" s="153"/>
      <c r="R311" s="153"/>
      <c r="S311" s="153"/>
      <c r="T311" s="153"/>
      <c r="V311" s="154"/>
      <c r="W311" s="154"/>
      <c r="X311" s="154"/>
    </row>
    <row r="312" spans="5:24" s="149" customFormat="1" x14ac:dyDescent="0.25">
      <c r="E312" s="171"/>
      <c r="F312" s="355"/>
      <c r="G312" s="356"/>
      <c r="H312" s="356"/>
      <c r="I312" s="356"/>
      <c r="J312" s="356"/>
      <c r="K312" s="357"/>
      <c r="L312" s="153"/>
      <c r="M312" s="153"/>
      <c r="N312" s="153"/>
      <c r="O312" s="153"/>
      <c r="P312" s="153"/>
      <c r="Q312" s="153"/>
      <c r="R312" s="153"/>
      <c r="S312" s="153"/>
      <c r="T312" s="153"/>
      <c r="V312" s="154"/>
      <c r="W312" s="154"/>
      <c r="X312" s="154"/>
    </row>
    <row r="313" spans="5:24" s="149" customFormat="1" x14ac:dyDescent="0.25">
      <c r="E313" s="171"/>
      <c r="F313" s="355"/>
      <c r="G313" s="356"/>
      <c r="H313" s="356"/>
      <c r="I313" s="356"/>
      <c r="J313" s="356"/>
      <c r="K313" s="357"/>
      <c r="L313" s="153"/>
      <c r="M313" s="153"/>
      <c r="N313" s="153"/>
      <c r="O313" s="153"/>
      <c r="P313" s="153"/>
      <c r="Q313" s="153"/>
      <c r="R313" s="153"/>
      <c r="S313" s="153"/>
      <c r="T313" s="153"/>
      <c r="V313" s="154"/>
      <c r="W313" s="154"/>
      <c r="X313" s="154"/>
    </row>
    <row r="314" spans="5:24" s="149" customFormat="1" x14ac:dyDescent="0.25">
      <c r="E314" s="171"/>
      <c r="F314" s="355"/>
      <c r="G314" s="356"/>
      <c r="H314" s="356"/>
      <c r="I314" s="356"/>
      <c r="J314" s="356"/>
      <c r="K314" s="357"/>
      <c r="L314" s="153"/>
      <c r="M314" s="153"/>
      <c r="N314" s="153"/>
      <c r="O314" s="153"/>
      <c r="P314" s="153"/>
      <c r="Q314" s="153"/>
      <c r="R314" s="153"/>
      <c r="S314" s="153"/>
      <c r="T314" s="153"/>
      <c r="V314" s="154"/>
      <c r="W314" s="154"/>
      <c r="X314" s="154"/>
    </row>
    <row r="315" spans="5:24" s="149" customFormat="1" x14ac:dyDescent="0.25">
      <c r="E315" s="171"/>
      <c r="F315" s="355"/>
      <c r="G315" s="356"/>
      <c r="H315" s="356"/>
      <c r="I315" s="356"/>
      <c r="J315" s="356"/>
      <c r="K315" s="357"/>
      <c r="L315" s="153"/>
      <c r="M315" s="153"/>
      <c r="N315" s="153"/>
      <c r="O315" s="153"/>
      <c r="P315" s="153"/>
      <c r="Q315" s="153"/>
      <c r="R315" s="153"/>
      <c r="S315" s="153"/>
      <c r="T315" s="153"/>
      <c r="V315" s="154"/>
      <c r="W315" s="154"/>
      <c r="X315" s="154"/>
    </row>
    <row r="316" spans="5:24" s="149" customFormat="1" x14ac:dyDescent="0.25">
      <c r="E316" s="171"/>
      <c r="F316" s="355"/>
      <c r="G316" s="356"/>
      <c r="H316" s="356"/>
      <c r="I316" s="356"/>
      <c r="J316" s="356"/>
      <c r="K316" s="357"/>
      <c r="L316" s="153"/>
      <c r="M316" s="153"/>
      <c r="N316" s="153"/>
      <c r="O316" s="153"/>
      <c r="P316" s="153"/>
      <c r="Q316" s="153"/>
      <c r="R316" s="153"/>
      <c r="S316" s="153"/>
      <c r="T316" s="153"/>
      <c r="V316" s="154"/>
      <c r="W316" s="154"/>
      <c r="X316" s="154"/>
    </row>
    <row r="317" spans="5:24" s="149" customFormat="1" x14ac:dyDescent="0.25">
      <c r="E317" s="171"/>
      <c r="F317" s="355"/>
      <c r="G317" s="356"/>
      <c r="H317" s="356"/>
      <c r="I317" s="356"/>
      <c r="J317" s="356"/>
      <c r="K317" s="357"/>
      <c r="L317" s="153"/>
      <c r="M317" s="153"/>
      <c r="N317" s="153"/>
      <c r="O317" s="153"/>
      <c r="P317" s="153"/>
      <c r="Q317" s="153"/>
      <c r="R317" s="153"/>
      <c r="S317" s="153"/>
      <c r="T317" s="153"/>
      <c r="V317" s="154"/>
      <c r="W317" s="154"/>
      <c r="X317" s="154"/>
    </row>
    <row r="318" spans="5:24" s="149" customFormat="1" x14ac:dyDescent="0.25">
      <c r="E318" s="171"/>
      <c r="F318" s="355"/>
      <c r="G318" s="356"/>
      <c r="H318" s="356"/>
      <c r="I318" s="356"/>
      <c r="J318" s="356"/>
      <c r="K318" s="357"/>
      <c r="L318" s="153"/>
      <c r="M318" s="153"/>
      <c r="N318" s="153"/>
      <c r="O318" s="153"/>
      <c r="P318" s="153"/>
      <c r="Q318" s="153"/>
      <c r="R318" s="153"/>
      <c r="S318" s="153"/>
      <c r="T318" s="153"/>
      <c r="V318" s="154"/>
      <c r="W318" s="154"/>
      <c r="X318" s="154"/>
    </row>
    <row r="319" spans="5:24" s="149" customFormat="1" x14ac:dyDescent="0.25">
      <c r="E319" s="171"/>
      <c r="F319" s="355"/>
      <c r="G319" s="356"/>
      <c r="H319" s="356"/>
      <c r="I319" s="356"/>
      <c r="J319" s="356"/>
      <c r="K319" s="357"/>
      <c r="L319" s="153"/>
      <c r="M319" s="153"/>
      <c r="N319" s="153"/>
      <c r="O319" s="153"/>
      <c r="P319" s="153"/>
      <c r="Q319" s="153"/>
      <c r="R319" s="153"/>
      <c r="S319" s="153"/>
      <c r="T319" s="153"/>
      <c r="V319" s="154"/>
      <c r="W319" s="154"/>
      <c r="X319" s="154"/>
    </row>
    <row r="320" spans="5:24" s="149" customFormat="1" x14ac:dyDescent="0.25">
      <c r="E320" s="171"/>
      <c r="F320" s="355"/>
      <c r="G320" s="356"/>
      <c r="H320" s="356"/>
      <c r="I320" s="356"/>
      <c r="J320" s="356"/>
      <c r="K320" s="357"/>
      <c r="L320" s="153"/>
      <c r="M320" s="153"/>
      <c r="N320" s="153"/>
      <c r="O320" s="153"/>
      <c r="P320" s="153"/>
      <c r="Q320" s="153"/>
      <c r="R320" s="153"/>
      <c r="S320" s="153"/>
      <c r="T320" s="153"/>
      <c r="V320" s="154"/>
      <c r="W320" s="154"/>
      <c r="X320" s="154"/>
    </row>
    <row r="321" spans="5:24" s="149" customFormat="1" x14ac:dyDescent="0.25">
      <c r="E321" s="171"/>
      <c r="F321" s="355"/>
      <c r="G321" s="356"/>
      <c r="H321" s="356"/>
      <c r="I321" s="356"/>
      <c r="J321" s="356"/>
      <c r="K321" s="357"/>
      <c r="L321" s="153"/>
      <c r="M321" s="153"/>
      <c r="N321" s="153"/>
      <c r="O321" s="153"/>
      <c r="P321" s="153"/>
      <c r="Q321" s="153"/>
      <c r="R321" s="153"/>
      <c r="S321" s="153"/>
      <c r="T321" s="153"/>
      <c r="V321" s="154"/>
      <c r="W321" s="154"/>
      <c r="X321" s="154"/>
    </row>
    <row r="322" spans="5:24" s="149" customFormat="1" x14ac:dyDescent="0.25">
      <c r="E322" s="171"/>
      <c r="F322" s="355"/>
      <c r="G322" s="356"/>
      <c r="H322" s="356"/>
      <c r="I322" s="356"/>
      <c r="J322" s="356"/>
      <c r="K322" s="357"/>
      <c r="L322" s="153"/>
      <c r="M322" s="153"/>
      <c r="N322" s="153"/>
      <c r="O322" s="153"/>
      <c r="P322" s="153"/>
      <c r="Q322" s="153"/>
      <c r="R322" s="153"/>
      <c r="S322" s="153"/>
      <c r="T322" s="153"/>
      <c r="V322" s="154"/>
      <c r="W322" s="154"/>
      <c r="X322" s="154"/>
    </row>
    <row r="323" spans="5:24" s="149" customFormat="1" x14ac:dyDescent="0.25">
      <c r="E323" s="171"/>
      <c r="F323" s="355"/>
      <c r="G323" s="356"/>
      <c r="H323" s="356"/>
      <c r="I323" s="356"/>
      <c r="J323" s="356"/>
      <c r="K323" s="357"/>
      <c r="L323" s="153"/>
      <c r="M323" s="153"/>
      <c r="N323" s="153"/>
      <c r="O323" s="153"/>
      <c r="P323" s="153"/>
      <c r="Q323" s="153"/>
      <c r="R323" s="153"/>
      <c r="S323" s="153"/>
      <c r="T323" s="153"/>
      <c r="V323" s="154"/>
      <c r="W323" s="154"/>
      <c r="X323" s="154"/>
    </row>
    <row r="324" spans="5:24" s="149" customFormat="1" x14ac:dyDescent="0.25">
      <c r="E324" s="171"/>
      <c r="F324" s="355"/>
      <c r="G324" s="356"/>
      <c r="H324" s="356"/>
      <c r="I324" s="356"/>
      <c r="J324" s="356"/>
      <c r="K324" s="357"/>
      <c r="L324" s="153"/>
      <c r="M324" s="153"/>
      <c r="N324" s="153"/>
      <c r="O324" s="153"/>
      <c r="P324" s="153"/>
      <c r="Q324" s="153"/>
      <c r="R324" s="153"/>
      <c r="S324" s="153"/>
      <c r="T324" s="153"/>
      <c r="V324" s="154"/>
      <c r="W324" s="154"/>
      <c r="X324" s="154"/>
    </row>
    <row r="325" spans="5:24" s="149" customFormat="1" x14ac:dyDescent="0.25">
      <c r="E325" s="171"/>
      <c r="F325" s="355"/>
      <c r="G325" s="356"/>
      <c r="H325" s="356"/>
      <c r="I325" s="356"/>
      <c r="J325" s="356"/>
      <c r="K325" s="357"/>
      <c r="L325" s="153"/>
      <c r="M325" s="153"/>
      <c r="N325" s="153"/>
      <c r="O325" s="153"/>
      <c r="P325" s="153"/>
      <c r="Q325" s="153"/>
      <c r="R325" s="153"/>
      <c r="S325" s="153"/>
      <c r="T325" s="153"/>
      <c r="V325" s="154"/>
      <c r="W325" s="154"/>
      <c r="X325" s="154"/>
    </row>
    <row r="326" spans="5:24" s="149" customFormat="1" x14ac:dyDescent="0.25">
      <c r="E326" s="171"/>
      <c r="F326" s="355"/>
      <c r="G326" s="356"/>
      <c r="H326" s="356"/>
      <c r="I326" s="356"/>
      <c r="J326" s="356"/>
      <c r="K326" s="357"/>
      <c r="L326" s="153"/>
      <c r="M326" s="153"/>
      <c r="N326" s="153"/>
      <c r="O326" s="153"/>
      <c r="P326" s="153"/>
      <c r="Q326" s="153"/>
      <c r="R326" s="153"/>
      <c r="S326" s="153"/>
      <c r="T326" s="153"/>
      <c r="V326" s="154"/>
      <c r="W326" s="154"/>
      <c r="X326" s="154"/>
    </row>
    <row r="327" spans="5:24" s="149" customFormat="1" x14ac:dyDescent="0.25">
      <c r="E327" s="171"/>
      <c r="F327" s="355"/>
      <c r="G327" s="356"/>
      <c r="H327" s="356"/>
      <c r="I327" s="356"/>
      <c r="J327" s="356"/>
      <c r="K327" s="357"/>
      <c r="L327" s="153"/>
      <c r="M327" s="153"/>
      <c r="N327" s="153"/>
      <c r="O327" s="153"/>
      <c r="P327" s="153"/>
      <c r="Q327" s="153"/>
      <c r="R327" s="153"/>
      <c r="S327" s="153"/>
      <c r="T327" s="153"/>
      <c r="V327" s="154"/>
      <c r="W327" s="154"/>
      <c r="X327" s="154"/>
    </row>
    <row r="328" spans="5:24" s="149" customFormat="1" x14ac:dyDescent="0.25">
      <c r="E328" s="171"/>
      <c r="F328" s="355"/>
      <c r="G328" s="356"/>
      <c r="H328" s="356"/>
      <c r="I328" s="356"/>
      <c r="J328" s="356"/>
      <c r="K328" s="357"/>
      <c r="L328" s="153"/>
      <c r="M328" s="153"/>
      <c r="N328" s="153"/>
      <c r="O328" s="153"/>
      <c r="P328" s="153"/>
      <c r="Q328" s="153"/>
      <c r="R328" s="153"/>
      <c r="S328" s="153"/>
      <c r="T328" s="153"/>
      <c r="V328" s="154"/>
      <c r="W328" s="154"/>
      <c r="X328" s="154"/>
    </row>
    <row r="329" spans="5:24" s="149" customFormat="1" x14ac:dyDescent="0.25">
      <c r="E329" s="171"/>
      <c r="F329" s="355"/>
      <c r="G329" s="356"/>
      <c r="H329" s="356"/>
      <c r="I329" s="356"/>
      <c r="J329" s="356"/>
      <c r="K329" s="357"/>
      <c r="L329" s="153"/>
      <c r="M329" s="153"/>
      <c r="N329" s="153"/>
      <c r="O329" s="153"/>
      <c r="P329" s="153"/>
      <c r="Q329" s="153"/>
      <c r="R329" s="153"/>
      <c r="S329" s="153"/>
      <c r="T329" s="153"/>
      <c r="V329" s="154"/>
      <c r="W329" s="154"/>
      <c r="X329" s="154"/>
    </row>
    <row r="330" spans="5:24" s="149" customFormat="1" x14ac:dyDescent="0.25">
      <c r="E330" s="171"/>
      <c r="F330" s="355"/>
      <c r="G330" s="356"/>
      <c r="H330" s="356"/>
      <c r="I330" s="356"/>
      <c r="J330" s="356"/>
      <c r="K330" s="357"/>
      <c r="L330" s="153"/>
      <c r="M330" s="153"/>
      <c r="N330" s="153"/>
      <c r="O330" s="153"/>
      <c r="P330" s="153"/>
      <c r="Q330" s="153"/>
      <c r="R330" s="153"/>
      <c r="S330" s="153"/>
      <c r="T330" s="153"/>
      <c r="V330" s="154"/>
      <c r="W330" s="154"/>
      <c r="X330" s="154"/>
    </row>
    <row r="331" spans="5:24" s="149" customFormat="1" x14ac:dyDescent="0.25">
      <c r="E331" s="171"/>
      <c r="F331" s="355"/>
      <c r="G331" s="356"/>
      <c r="H331" s="356"/>
      <c r="I331" s="356"/>
      <c r="J331" s="356"/>
      <c r="K331" s="357"/>
      <c r="L331" s="153"/>
      <c r="M331" s="153"/>
      <c r="N331" s="153"/>
      <c r="O331" s="153"/>
      <c r="P331" s="153"/>
      <c r="Q331" s="153"/>
      <c r="R331" s="153"/>
      <c r="S331" s="153"/>
      <c r="T331" s="153"/>
      <c r="V331" s="154"/>
      <c r="W331" s="154"/>
      <c r="X331" s="154"/>
    </row>
    <row r="332" spans="5:24" s="149" customFormat="1" x14ac:dyDescent="0.25">
      <c r="E332" s="171"/>
      <c r="F332" s="355"/>
      <c r="G332" s="356"/>
      <c r="H332" s="356"/>
      <c r="I332" s="356"/>
      <c r="J332" s="356"/>
      <c r="K332" s="357"/>
      <c r="L332" s="153"/>
      <c r="M332" s="153"/>
      <c r="N332" s="153"/>
      <c r="O332" s="153"/>
      <c r="P332" s="153"/>
      <c r="Q332" s="153"/>
      <c r="R332" s="153"/>
      <c r="S332" s="153"/>
      <c r="T332" s="153"/>
      <c r="V332" s="154"/>
      <c r="W332" s="154"/>
      <c r="X332" s="154"/>
    </row>
    <row r="333" spans="5:24" s="149" customFormat="1" x14ac:dyDescent="0.25">
      <c r="E333" s="171"/>
      <c r="F333" s="355"/>
      <c r="G333" s="356"/>
      <c r="H333" s="356"/>
      <c r="I333" s="356"/>
      <c r="J333" s="356"/>
      <c r="K333" s="357"/>
      <c r="L333" s="153"/>
      <c r="M333" s="153"/>
      <c r="N333" s="153"/>
      <c r="O333" s="153"/>
      <c r="P333" s="153"/>
      <c r="Q333" s="153"/>
      <c r="R333" s="153"/>
      <c r="S333" s="153"/>
      <c r="T333" s="153"/>
      <c r="V333" s="154"/>
      <c r="W333" s="154"/>
      <c r="X333" s="154"/>
    </row>
    <row r="334" spans="5:24" s="149" customFormat="1" x14ac:dyDescent="0.25">
      <c r="E334" s="171"/>
      <c r="F334" s="355"/>
      <c r="G334" s="356"/>
      <c r="H334" s="356"/>
      <c r="I334" s="356"/>
      <c r="J334" s="356"/>
      <c r="K334" s="357"/>
      <c r="L334" s="153"/>
      <c r="M334" s="153"/>
      <c r="N334" s="153"/>
      <c r="O334" s="153"/>
      <c r="P334" s="153"/>
      <c r="Q334" s="153"/>
      <c r="R334" s="153"/>
      <c r="S334" s="153"/>
      <c r="T334" s="153"/>
      <c r="V334" s="154"/>
      <c r="W334" s="154"/>
      <c r="X334" s="154"/>
    </row>
    <row r="335" spans="5:24" s="149" customFormat="1" x14ac:dyDescent="0.25">
      <c r="E335" s="171"/>
      <c r="F335" s="355"/>
      <c r="G335" s="356"/>
      <c r="H335" s="356"/>
      <c r="I335" s="356"/>
      <c r="J335" s="356"/>
      <c r="K335" s="357"/>
      <c r="L335" s="153"/>
      <c r="M335" s="153"/>
      <c r="N335" s="153"/>
      <c r="O335" s="153"/>
      <c r="P335" s="153"/>
      <c r="Q335" s="153"/>
      <c r="R335" s="153"/>
      <c r="S335" s="153"/>
      <c r="T335" s="153"/>
      <c r="V335" s="154"/>
      <c r="W335" s="154"/>
      <c r="X335" s="154"/>
    </row>
    <row r="336" spans="5:24" s="149" customFormat="1" x14ac:dyDescent="0.25">
      <c r="E336" s="171"/>
      <c r="F336" s="355"/>
      <c r="G336" s="356"/>
      <c r="H336" s="356"/>
      <c r="I336" s="356"/>
      <c r="J336" s="356"/>
      <c r="K336" s="357"/>
      <c r="L336" s="153"/>
      <c r="M336" s="153"/>
      <c r="N336" s="153"/>
      <c r="O336" s="153"/>
      <c r="P336" s="153"/>
      <c r="Q336" s="153"/>
      <c r="R336" s="153"/>
      <c r="S336" s="153"/>
      <c r="T336" s="153"/>
      <c r="V336" s="154"/>
      <c r="W336" s="154"/>
      <c r="X336" s="154"/>
    </row>
    <row r="337" spans="5:24" s="149" customFormat="1" x14ac:dyDescent="0.25">
      <c r="E337" s="171"/>
      <c r="F337" s="355"/>
      <c r="G337" s="356"/>
      <c r="H337" s="356"/>
      <c r="I337" s="356"/>
      <c r="J337" s="356"/>
      <c r="K337" s="357"/>
      <c r="L337" s="153"/>
      <c r="M337" s="153"/>
      <c r="N337" s="153"/>
      <c r="O337" s="153"/>
      <c r="P337" s="153"/>
      <c r="Q337" s="153"/>
      <c r="R337" s="153"/>
      <c r="S337" s="153"/>
      <c r="T337" s="153"/>
      <c r="V337" s="154"/>
      <c r="W337" s="154"/>
      <c r="X337" s="154"/>
    </row>
    <row r="338" spans="5:24" s="149" customFormat="1" x14ac:dyDescent="0.25">
      <c r="E338" s="171"/>
      <c r="F338" s="355"/>
      <c r="G338" s="356"/>
      <c r="H338" s="356"/>
      <c r="I338" s="356"/>
      <c r="J338" s="356"/>
      <c r="K338" s="357"/>
      <c r="L338" s="153"/>
      <c r="M338" s="153"/>
      <c r="N338" s="153"/>
      <c r="O338" s="153"/>
      <c r="P338" s="153"/>
      <c r="Q338" s="153"/>
      <c r="R338" s="153"/>
      <c r="S338" s="153"/>
      <c r="T338" s="153"/>
      <c r="V338" s="154"/>
      <c r="W338" s="154"/>
      <c r="X338" s="154"/>
    </row>
    <row r="339" spans="5:24" s="149" customFormat="1" x14ac:dyDescent="0.25">
      <c r="E339" s="171"/>
      <c r="F339" s="355"/>
      <c r="G339" s="356"/>
      <c r="H339" s="356"/>
      <c r="I339" s="356"/>
      <c r="J339" s="356"/>
      <c r="K339" s="357"/>
      <c r="L339" s="153"/>
      <c r="M339" s="153"/>
      <c r="N339" s="153"/>
      <c r="O339" s="153"/>
      <c r="P339" s="153"/>
      <c r="Q339" s="153"/>
      <c r="R339" s="153"/>
      <c r="S339" s="153"/>
      <c r="T339" s="153"/>
      <c r="V339" s="154"/>
      <c r="W339" s="154"/>
      <c r="X339" s="154"/>
    </row>
    <row r="340" spans="5:24" s="149" customFormat="1" x14ac:dyDescent="0.25">
      <c r="E340" s="171"/>
      <c r="F340" s="355"/>
      <c r="G340" s="356"/>
      <c r="H340" s="356"/>
      <c r="I340" s="356"/>
      <c r="J340" s="356"/>
      <c r="K340" s="357"/>
      <c r="L340" s="153"/>
      <c r="M340" s="153"/>
      <c r="N340" s="153"/>
      <c r="O340" s="153"/>
      <c r="P340" s="153"/>
      <c r="Q340" s="153"/>
      <c r="R340" s="153"/>
      <c r="S340" s="153"/>
      <c r="T340" s="153"/>
      <c r="V340" s="154"/>
      <c r="W340" s="154"/>
      <c r="X340" s="154"/>
    </row>
    <row r="341" spans="5:24" s="149" customFormat="1" x14ac:dyDescent="0.25">
      <c r="E341" s="171"/>
      <c r="F341" s="355"/>
      <c r="G341" s="356"/>
      <c r="H341" s="356"/>
      <c r="I341" s="356"/>
      <c r="J341" s="356"/>
      <c r="K341" s="357"/>
      <c r="L341" s="153"/>
      <c r="M341" s="153"/>
      <c r="N341" s="153"/>
      <c r="O341" s="153"/>
      <c r="P341" s="153"/>
      <c r="Q341" s="153"/>
      <c r="R341" s="153"/>
      <c r="S341" s="153"/>
      <c r="T341" s="153"/>
      <c r="V341" s="154"/>
      <c r="W341" s="154"/>
      <c r="X341" s="154"/>
    </row>
    <row r="342" spans="5:24" s="149" customFormat="1" x14ac:dyDescent="0.25">
      <c r="E342" s="171"/>
      <c r="F342" s="355"/>
      <c r="G342" s="356"/>
      <c r="H342" s="356"/>
      <c r="I342" s="356"/>
      <c r="J342" s="356"/>
      <c r="K342" s="357"/>
      <c r="L342" s="153"/>
      <c r="M342" s="153"/>
      <c r="N342" s="153"/>
      <c r="O342" s="153"/>
      <c r="P342" s="153"/>
      <c r="Q342" s="153"/>
      <c r="R342" s="153"/>
      <c r="S342" s="153"/>
      <c r="T342" s="153"/>
      <c r="V342" s="154"/>
      <c r="W342" s="154"/>
      <c r="X342" s="154"/>
    </row>
    <row r="343" spans="5:24" s="149" customFormat="1" x14ac:dyDescent="0.25">
      <c r="E343" s="171"/>
      <c r="F343" s="355"/>
      <c r="G343" s="356"/>
      <c r="H343" s="356"/>
      <c r="I343" s="356"/>
      <c r="J343" s="356"/>
      <c r="K343" s="357"/>
      <c r="L343" s="153"/>
      <c r="M343" s="153"/>
      <c r="N343" s="153"/>
      <c r="O343" s="153"/>
      <c r="P343" s="153"/>
      <c r="Q343" s="153"/>
      <c r="R343" s="153"/>
      <c r="S343" s="153"/>
      <c r="T343" s="153"/>
      <c r="V343" s="154"/>
      <c r="W343" s="154"/>
      <c r="X343" s="154"/>
    </row>
    <row r="344" spans="5:24" s="149" customFormat="1" x14ac:dyDescent="0.25">
      <c r="E344" s="171"/>
      <c r="F344" s="355"/>
      <c r="G344" s="356"/>
      <c r="H344" s="356"/>
      <c r="I344" s="356"/>
      <c r="J344" s="356"/>
      <c r="K344" s="357"/>
      <c r="L344" s="153"/>
      <c r="M344" s="153"/>
      <c r="N344" s="153"/>
      <c r="O344" s="153"/>
      <c r="P344" s="153"/>
      <c r="Q344" s="153"/>
      <c r="R344" s="153"/>
      <c r="S344" s="153"/>
      <c r="T344" s="153"/>
      <c r="V344" s="154"/>
      <c r="W344" s="154"/>
      <c r="X344" s="154"/>
    </row>
    <row r="345" spans="5:24" s="149" customFormat="1" x14ac:dyDescent="0.25">
      <c r="E345" s="171"/>
      <c r="F345" s="355"/>
      <c r="G345" s="356"/>
      <c r="H345" s="356"/>
      <c r="I345" s="356"/>
      <c r="J345" s="356"/>
      <c r="K345" s="357"/>
      <c r="L345" s="153"/>
      <c r="M345" s="153"/>
      <c r="N345" s="153"/>
      <c r="O345" s="153"/>
      <c r="P345" s="153"/>
      <c r="Q345" s="153"/>
      <c r="R345" s="153"/>
      <c r="S345" s="153"/>
      <c r="T345" s="153"/>
      <c r="V345" s="154"/>
      <c r="W345" s="154"/>
      <c r="X345" s="154"/>
    </row>
    <row r="346" spans="5:24" s="149" customFormat="1" x14ac:dyDescent="0.25">
      <c r="E346" s="171"/>
      <c r="F346" s="355"/>
      <c r="G346" s="356"/>
      <c r="H346" s="356"/>
      <c r="I346" s="356"/>
      <c r="J346" s="356"/>
      <c r="K346" s="357"/>
      <c r="L346" s="153"/>
      <c r="M346" s="153"/>
      <c r="N346" s="153"/>
      <c r="O346" s="153"/>
      <c r="P346" s="153"/>
      <c r="Q346" s="153"/>
      <c r="R346" s="153"/>
      <c r="S346" s="153"/>
      <c r="T346" s="153"/>
      <c r="V346" s="154"/>
      <c r="W346" s="154"/>
      <c r="X346" s="154"/>
    </row>
    <row r="347" spans="5:24" s="149" customFormat="1" x14ac:dyDescent="0.25">
      <c r="E347" s="171"/>
      <c r="F347" s="355"/>
      <c r="G347" s="356"/>
      <c r="H347" s="356"/>
      <c r="I347" s="356"/>
      <c r="J347" s="356"/>
      <c r="K347" s="357"/>
      <c r="L347" s="153"/>
      <c r="M347" s="153"/>
      <c r="N347" s="153"/>
      <c r="O347" s="153"/>
      <c r="P347" s="153"/>
      <c r="Q347" s="153"/>
      <c r="R347" s="153"/>
      <c r="S347" s="153"/>
      <c r="T347" s="153"/>
      <c r="V347" s="154"/>
      <c r="W347" s="154"/>
      <c r="X347" s="154"/>
    </row>
    <row r="348" spans="5:24" s="149" customFormat="1" x14ac:dyDescent="0.25">
      <c r="E348" s="171"/>
      <c r="F348" s="355"/>
      <c r="G348" s="356"/>
      <c r="H348" s="356"/>
      <c r="I348" s="356"/>
      <c r="J348" s="356"/>
      <c r="K348" s="357"/>
      <c r="L348" s="153"/>
      <c r="M348" s="153"/>
      <c r="N348" s="153"/>
      <c r="O348" s="153"/>
      <c r="P348" s="153"/>
      <c r="Q348" s="153"/>
      <c r="R348" s="153"/>
      <c r="S348" s="153"/>
      <c r="T348" s="153"/>
      <c r="V348" s="154"/>
      <c r="W348" s="154"/>
      <c r="X348" s="154"/>
    </row>
    <row r="349" spans="5:24" s="149" customFormat="1" x14ac:dyDescent="0.25">
      <c r="E349" s="171"/>
      <c r="F349" s="355"/>
      <c r="G349" s="356"/>
      <c r="H349" s="356"/>
      <c r="I349" s="356"/>
      <c r="J349" s="356"/>
      <c r="K349" s="357"/>
      <c r="L349" s="153"/>
      <c r="M349" s="153"/>
      <c r="N349" s="153"/>
      <c r="O349" s="153"/>
      <c r="P349" s="153"/>
      <c r="Q349" s="153"/>
      <c r="R349" s="153"/>
      <c r="S349" s="153"/>
      <c r="T349" s="153"/>
      <c r="V349" s="154"/>
      <c r="W349" s="154"/>
      <c r="X349" s="154"/>
    </row>
    <row r="350" spans="5:24" s="149" customFormat="1" x14ac:dyDescent="0.25">
      <c r="E350" s="171"/>
      <c r="F350" s="355"/>
      <c r="G350" s="356"/>
      <c r="H350" s="356"/>
      <c r="I350" s="356"/>
      <c r="J350" s="356"/>
      <c r="K350" s="357"/>
      <c r="L350" s="153"/>
      <c r="M350" s="153"/>
      <c r="N350" s="153"/>
      <c r="O350" s="153"/>
      <c r="P350" s="153"/>
      <c r="Q350" s="153"/>
      <c r="R350" s="153"/>
      <c r="S350" s="153"/>
      <c r="T350" s="153"/>
      <c r="V350" s="154"/>
      <c r="W350" s="154"/>
      <c r="X350" s="154"/>
    </row>
    <row r="351" spans="5:24" s="149" customFormat="1" x14ac:dyDescent="0.25">
      <c r="E351" s="171"/>
      <c r="F351" s="355"/>
      <c r="G351" s="356"/>
      <c r="H351" s="356"/>
      <c r="I351" s="356"/>
      <c r="J351" s="356"/>
      <c r="K351" s="357"/>
      <c r="L351" s="153"/>
      <c r="M351" s="153"/>
      <c r="N351" s="153"/>
      <c r="O351" s="153"/>
      <c r="P351" s="153"/>
      <c r="Q351" s="153"/>
      <c r="R351" s="153"/>
      <c r="S351" s="153"/>
      <c r="T351" s="153"/>
      <c r="V351" s="154"/>
      <c r="W351" s="154"/>
      <c r="X351" s="154"/>
    </row>
    <row r="352" spans="5:24" s="149" customFormat="1" x14ac:dyDescent="0.25">
      <c r="E352" s="171"/>
      <c r="F352" s="355"/>
      <c r="G352" s="356"/>
      <c r="H352" s="356"/>
      <c r="I352" s="356"/>
      <c r="J352" s="356"/>
      <c r="K352" s="357"/>
      <c r="L352" s="153"/>
      <c r="M352" s="153"/>
      <c r="N352" s="153"/>
      <c r="O352" s="153"/>
      <c r="P352" s="153"/>
      <c r="Q352" s="153"/>
      <c r="R352" s="153"/>
      <c r="S352" s="153"/>
      <c r="T352" s="153"/>
      <c r="V352" s="154"/>
      <c r="W352" s="154"/>
      <c r="X352" s="154"/>
    </row>
    <row r="353" spans="5:24" s="149" customFormat="1" x14ac:dyDescent="0.25">
      <c r="E353" s="171"/>
      <c r="F353" s="355"/>
      <c r="G353" s="356"/>
      <c r="H353" s="356"/>
      <c r="I353" s="356"/>
      <c r="J353" s="356"/>
      <c r="K353" s="357"/>
      <c r="L353" s="153"/>
      <c r="M353" s="153"/>
      <c r="N353" s="153"/>
      <c r="O353" s="153"/>
      <c r="P353" s="153"/>
      <c r="Q353" s="153"/>
      <c r="R353" s="153"/>
      <c r="S353" s="153"/>
      <c r="T353" s="153"/>
      <c r="V353" s="154"/>
      <c r="W353" s="154"/>
      <c r="X353" s="154"/>
    </row>
    <row r="354" spans="5:24" s="149" customFormat="1" x14ac:dyDescent="0.25">
      <c r="E354" s="171"/>
      <c r="F354" s="355"/>
      <c r="G354" s="356"/>
      <c r="H354" s="356"/>
      <c r="I354" s="356"/>
      <c r="J354" s="356"/>
      <c r="K354" s="357"/>
      <c r="L354" s="153"/>
      <c r="M354" s="153"/>
      <c r="N354" s="153"/>
      <c r="O354" s="153"/>
      <c r="P354" s="153"/>
      <c r="Q354" s="153"/>
      <c r="R354" s="153"/>
      <c r="S354" s="153"/>
      <c r="T354" s="153"/>
      <c r="V354" s="154"/>
      <c r="W354" s="154"/>
      <c r="X354" s="154"/>
    </row>
    <row r="355" spans="5:24" s="149" customFormat="1" x14ac:dyDescent="0.25">
      <c r="E355" s="171"/>
      <c r="F355" s="355"/>
      <c r="G355" s="356"/>
      <c r="H355" s="356"/>
      <c r="I355" s="356"/>
      <c r="J355" s="356"/>
      <c r="K355" s="357"/>
      <c r="L355" s="153"/>
      <c r="M355" s="153"/>
      <c r="N355" s="153"/>
      <c r="O355" s="153"/>
      <c r="P355" s="153"/>
      <c r="Q355" s="153"/>
      <c r="R355" s="153"/>
      <c r="S355" s="153"/>
      <c r="T355" s="153"/>
      <c r="V355" s="154"/>
      <c r="W355" s="154"/>
      <c r="X355" s="154"/>
    </row>
    <row r="356" spans="5:24" s="149" customFormat="1" x14ac:dyDescent="0.25">
      <c r="E356" s="171"/>
      <c r="F356" s="355"/>
      <c r="G356" s="356"/>
      <c r="H356" s="356"/>
      <c r="I356" s="356"/>
      <c r="J356" s="356"/>
      <c r="K356" s="357"/>
      <c r="L356" s="153"/>
      <c r="M356" s="153"/>
      <c r="N356" s="153"/>
      <c r="O356" s="153"/>
      <c r="P356" s="153"/>
      <c r="Q356" s="153"/>
      <c r="R356" s="153"/>
      <c r="S356" s="153"/>
      <c r="T356" s="153"/>
      <c r="V356" s="154"/>
      <c r="W356" s="154"/>
      <c r="X356" s="154"/>
    </row>
    <row r="357" spans="5:24" s="149" customFormat="1" x14ac:dyDescent="0.25">
      <c r="E357" s="171"/>
      <c r="F357" s="355"/>
      <c r="G357" s="356"/>
      <c r="H357" s="356"/>
      <c r="I357" s="356"/>
      <c r="J357" s="356"/>
      <c r="K357" s="357"/>
      <c r="L357" s="153"/>
      <c r="M357" s="153"/>
      <c r="N357" s="153"/>
      <c r="O357" s="153"/>
      <c r="P357" s="153"/>
      <c r="Q357" s="153"/>
      <c r="R357" s="153"/>
      <c r="S357" s="153"/>
      <c r="T357" s="153"/>
      <c r="V357" s="154"/>
      <c r="W357" s="154"/>
      <c r="X357" s="154"/>
    </row>
    <row r="358" spans="5:24" s="149" customFormat="1" x14ac:dyDescent="0.25">
      <c r="E358" s="171"/>
      <c r="F358" s="355"/>
      <c r="G358" s="356"/>
      <c r="H358" s="356"/>
      <c r="I358" s="356"/>
      <c r="J358" s="356"/>
      <c r="K358" s="357"/>
      <c r="L358" s="153"/>
      <c r="M358" s="153"/>
      <c r="N358" s="153"/>
      <c r="O358" s="153"/>
      <c r="P358" s="153"/>
      <c r="Q358" s="153"/>
      <c r="R358" s="153"/>
      <c r="S358" s="153"/>
      <c r="T358" s="153"/>
      <c r="V358" s="154"/>
      <c r="W358" s="154"/>
      <c r="X358" s="154"/>
    </row>
    <row r="359" spans="5:24" s="149" customFormat="1" x14ac:dyDescent="0.25">
      <c r="E359" s="171"/>
      <c r="F359" s="355"/>
      <c r="G359" s="356"/>
      <c r="H359" s="356"/>
      <c r="I359" s="356"/>
      <c r="J359" s="356"/>
      <c r="K359" s="357"/>
      <c r="L359" s="153"/>
      <c r="M359" s="153"/>
      <c r="N359" s="153"/>
      <c r="O359" s="153"/>
      <c r="P359" s="153"/>
      <c r="Q359" s="153"/>
      <c r="R359" s="153"/>
      <c r="S359" s="153"/>
      <c r="T359" s="153"/>
      <c r="V359" s="154"/>
      <c r="W359" s="154"/>
      <c r="X359" s="154"/>
    </row>
    <row r="360" spans="5:24" s="149" customFormat="1" x14ac:dyDescent="0.25">
      <c r="E360" s="171"/>
      <c r="F360" s="355"/>
      <c r="G360" s="356"/>
      <c r="H360" s="356"/>
      <c r="I360" s="356"/>
      <c r="J360" s="356"/>
      <c r="K360" s="357"/>
      <c r="L360" s="153"/>
      <c r="M360" s="153"/>
      <c r="N360" s="153"/>
      <c r="O360" s="153"/>
      <c r="P360" s="153"/>
      <c r="Q360" s="153"/>
      <c r="R360" s="153"/>
      <c r="S360" s="153"/>
      <c r="T360" s="153"/>
      <c r="V360" s="154"/>
      <c r="W360" s="154"/>
      <c r="X360" s="154"/>
    </row>
    <row r="361" spans="5:24" s="149" customFormat="1" x14ac:dyDescent="0.25">
      <c r="E361" s="171"/>
      <c r="F361" s="355"/>
      <c r="G361" s="356"/>
      <c r="H361" s="356"/>
      <c r="I361" s="356"/>
      <c r="J361" s="356"/>
      <c r="K361" s="357"/>
      <c r="L361" s="153"/>
      <c r="M361" s="153"/>
      <c r="N361" s="153"/>
      <c r="O361" s="153"/>
      <c r="P361" s="153"/>
      <c r="Q361" s="153"/>
      <c r="R361" s="153"/>
      <c r="S361" s="153"/>
      <c r="T361" s="153"/>
      <c r="V361" s="154"/>
      <c r="W361" s="154"/>
      <c r="X361" s="154"/>
    </row>
    <row r="362" spans="5:24" s="149" customFormat="1" x14ac:dyDescent="0.25">
      <c r="E362" s="171"/>
      <c r="F362" s="355"/>
      <c r="G362" s="356"/>
      <c r="H362" s="356"/>
      <c r="I362" s="356"/>
      <c r="J362" s="356"/>
      <c r="K362" s="357"/>
      <c r="L362" s="153"/>
      <c r="M362" s="153"/>
      <c r="N362" s="153"/>
      <c r="O362" s="153"/>
      <c r="P362" s="153"/>
      <c r="Q362" s="153"/>
      <c r="R362" s="153"/>
      <c r="S362" s="153"/>
      <c r="T362" s="153"/>
      <c r="V362" s="154"/>
      <c r="W362" s="154"/>
      <c r="X362" s="154"/>
    </row>
    <row r="363" spans="5:24" s="149" customFormat="1" x14ac:dyDescent="0.25">
      <c r="E363" s="171"/>
      <c r="F363" s="355"/>
      <c r="G363" s="356"/>
      <c r="H363" s="356"/>
      <c r="I363" s="356"/>
      <c r="J363" s="356"/>
      <c r="K363" s="357"/>
      <c r="L363" s="153"/>
      <c r="M363" s="153"/>
      <c r="N363" s="153"/>
      <c r="O363" s="153"/>
      <c r="P363" s="153"/>
      <c r="Q363" s="153"/>
      <c r="R363" s="153"/>
      <c r="S363" s="153"/>
      <c r="T363" s="153"/>
      <c r="V363" s="154"/>
      <c r="W363" s="154"/>
      <c r="X363" s="154"/>
    </row>
    <row r="364" spans="5:24" s="149" customFormat="1" x14ac:dyDescent="0.25">
      <c r="E364" s="171"/>
      <c r="F364" s="355"/>
      <c r="G364" s="356"/>
      <c r="H364" s="356"/>
      <c r="I364" s="356"/>
      <c r="J364" s="356"/>
      <c r="K364" s="357"/>
      <c r="L364" s="153"/>
      <c r="M364" s="153"/>
      <c r="N364" s="153"/>
      <c r="O364" s="153"/>
      <c r="P364" s="153"/>
      <c r="Q364" s="153"/>
      <c r="R364" s="153"/>
      <c r="S364" s="153"/>
      <c r="T364" s="153"/>
      <c r="V364" s="154"/>
      <c r="W364" s="154"/>
      <c r="X364" s="154"/>
    </row>
    <row r="365" spans="5:24" s="149" customFormat="1" x14ac:dyDescent="0.25">
      <c r="E365" s="171"/>
      <c r="F365" s="355"/>
      <c r="G365" s="356"/>
      <c r="H365" s="356"/>
      <c r="I365" s="356"/>
      <c r="J365" s="356"/>
      <c r="K365" s="357"/>
      <c r="L365" s="153"/>
      <c r="M365" s="153"/>
      <c r="N365" s="153"/>
      <c r="O365" s="153"/>
      <c r="P365" s="153"/>
      <c r="Q365" s="153"/>
      <c r="R365" s="153"/>
      <c r="S365" s="153"/>
      <c r="T365" s="153"/>
      <c r="V365" s="154"/>
      <c r="W365" s="154"/>
      <c r="X365" s="154"/>
    </row>
    <row r="366" spans="5:24" s="149" customFormat="1" x14ac:dyDescent="0.25">
      <c r="E366" s="171"/>
      <c r="F366" s="355"/>
      <c r="G366" s="356"/>
      <c r="H366" s="356"/>
      <c r="I366" s="356"/>
      <c r="J366" s="356"/>
      <c r="K366" s="357"/>
      <c r="L366" s="153"/>
      <c r="M366" s="153"/>
      <c r="N366" s="153"/>
      <c r="O366" s="153"/>
      <c r="P366" s="153"/>
      <c r="Q366" s="153"/>
      <c r="R366" s="153"/>
      <c r="S366" s="153"/>
      <c r="T366" s="153"/>
      <c r="V366" s="154"/>
      <c r="W366" s="154"/>
      <c r="X366" s="154"/>
    </row>
    <row r="367" spans="5:24" s="149" customFormat="1" x14ac:dyDescent="0.25">
      <c r="E367" s="171"/>
      <c r="F367" s="355"/>
      <c r="G367" s="356"/>
      <c r="H367" s="356"/>
      <c r="I367" s="356"/>
      <c r="J367" s="356"/>
      <c r="K367" s="357"/>
      <c r="L367" s="153"/>
      <c r="M367" s="153"/>
      <c r="N367" s="153"/>
      <c r="O367" s="153"/>
      <c r="P367" s="153"/>
      <c r="Q367" s="153"/>
      <c r="R367" s="153"/>
      <c r="S367" s="153"/>
      <c r="T367" s="153"/>
      <c r="V367" s="154"/>
      <c r="W367" s="154"/>
      <c r="X367" s="154"/>
    </row>
    <row r="368" spans="5:24" s="149" customFormat="1" x14ac:dyDescent="0.25">
      <c r="E368" s="171"/>
      <c r="F368" s="355"/>
      <c r="G368" s="356"/>
      <c r="H368" s="356"/>
      <c r="I368" s="356"/>
      <c r="J368" s="356"/>
      <c r="K368" s="357"/>
      <c r="L368" s="153"/>
      <c r="M368" s="153"/>
      <c r="N368" s="153"/>
      <c r="O368" s="153"/>
      <c r="P368" s="153"/>
      <c r="Q368" s="153"/>
      <c r="R368" s="153"/>
      <c r="S368" s="153"/>
      <c r="T368" s="153"/>
      <c r="V368" s="154"/>
      <c r="W368" s="154"/>
      <c r="X368" s="154"/>
    </row>
    <row r="369" spans="5:24" s="149" customFormat="1" x14ac:dyDescent="0.25">
      <c r="E369" s="171"/>
      <c r="F369" s="355"/>
      <c r="G369" s="356"/>
      <c r="H369" s="356"/>
      <c r="I369" s="356"/>
      <c r="J369" s="356"/>
      <c r="K369" s="357"/>
      <c r="L369" s="153"/>
      <c r="M369" s="153"/>
      <c r="N369" s="153"/>
      <c r="O369" s="153"/>
      <c r="P369" s="153"/>
      <c r="Q369" s="153"/>
      <c r="R369" s="153"/>
      <c r="S369" s="153"/>
      <c r="T369" s="153"/>
      <c r="V369" s="154"/>
      <c r="W369" s="154"/>
      <c r="X369" s="154"/>
    </row>
    <row r="370" spans="5:24" s="149" customFormat="1" x14ac:dyDescent="0.25">
      <c r="E370" s="171"/>
      <c r="F370" s="355"/>
      <c r="G370" s="356"/>
      <c r="H370" s="356"/>
      <c r="I370" s="356"/>
      <c r="J370" s="356"/>
      <c r="K370" s="357"/>
      <c r="L370" s="153"/>
      <c r="M370" s="153"/>
      <c r="N370" s="153"/>
      <c r="O370" s="153"/>
      <c r="P370" s="153"/>
      <c r="Q370" s="153"/>
      <c r="R370" s="153"/>
      <c r="S370" s="153"/>
      <c r="T370" s="153"/>
      <c r="V370" s="154"/>
      <c r="W370" s="154"/>
      <c r="X370" s="154"/>
    </row>
    <row r="371" spans="5:24" s="149" customFormat="1" x14ac:dyDescent="0.25">
      <c r="E371" s="171"/>
      <c r="F371" s="355"/>
      <c r="G371" s="356"/>
      <c r="H371" s="356"/>
      <c r="I371" s="356"/>
      <c r="J371" s="356"/>
      <c r="K371" s="357"/>
      <c r="L371" s="153"/>
      <c r="M371" s="153"/>
      <c r="N371" s="153"/>
      <c r="O371" s="153"/>
      <c r="P371" s="153"/>
      <c r="Q371" s="153"/>
      <c r="R371" s="153"/>
      <c r="S371" s="153"/>
      <c r="T371" s="153"/>
      <c r="V371" s="154"/>
      <c r="W371" s="154"/>
      <c r="X371" s="154"/>
    </row>
    <row r="372" spans="5:24" s="149" customFormat="1" x14ac:dyDescent="0.25">
      <c r="E372" s="171"/>
      <c r="F372" s="355"/>
      <c r="G372" s="356"/>
      <c r="H372" s="356"/>
      <c r="I372" s="356"/>
      <c r="J372" s="356"/>
      <c r="K372" s="357"/>
      <c r="L372" s="153"/>
      <c r="M372" s="153"/>
      <c r="N372" s="153"/>
      <c r="O372" s="153"/>
      <c r="P372" s="153"/>
      <c r="Q372" s="153"/>
      <c r="R372" s="153"/>
      <c r="S372" s="153"/>
      <c r="T372" s="153"/>
      <c r="V372" s="154"/>
      <c r="W372" s="154"/>
      <c r="X372" s="154"/>
    </row>
    <row r="373" spans="5:24" s="149" customFormat="1" x14ac:dyDescent="0.25">
      <c r="E373" s="171"/>
      <c r="F373" s="355"/>
      <c r="G373" s="356"/>
      <c r="H373" s="356"/>
      <c r="I373" s="356"/>
      <c r="J373" s="356"/>
      <c r="K373" s="357"/>
      <c r="L373" s="153"/>
      <c r="M373" s="153"/>
      <c r="N373" s="153"/>
      <c r="O373" s="153"/>
      <c r="P373" s="153"/>
      <c r="Q373" s="153"/>
      <c r="R373" s="153"/>
      <c r="S373" s="153"/>
      <c r="T373" s="153"/>
      <c r="V373" s="154"/>
      <c r="W373" s="154"/>
      <c r="X373" s="154"/>
    </row>
    <row r="374" spans="5:24" s="149" customFormat="1" x14ac:dyDescent="0.25">
      <c r="E374" s="171"/>
      <c r="F374" s="355"/>
      <c r="G374" s="356"/>
      <c r="H374" s="356"/>
      <c r="I374" s="356"/>
      <c r="J374" s="356"/>
      <c r="K374" s="357"/>
      <c r="L374" s="153"/>
      <c r="M374" s="153"/>
      <c r="N374" s="153"/>
      <c r="O374" s="153"/>
      <c r="P374" s="153"/>
      <c r="Q374" s="153"/>
      <c r="R374" s="153"/>
      <c r="S374" s="153"/>
      <c r="T374" s="153"/>
      <c r="V374" s="154"/>
      <c r="W374" s="154"/>
      <c r="X374" s="154"/>
    </row>
    <row r="375" spans="5:24" s="149" customFormat="1" x14ac:dyDescent="0.25">
      <c r="E375" s="171"/>
      <c r="F375" s="355"/>
      <c r="G375" s="356"/>
      <c r="H375" s="356"/>
      <c r="I375" s="356"/>
      <c r="J375" s="356"/>
      <c r="K375" s="357"/>
      <c r="L375" s="153"/>
      <c r="M375" s="153"/>
      <c r="N375" s="153"/>
      <c r="O375" s="153"/>
      <c r="P375" s="153"/>
      <c r="Q375" s="153"/>
      <c r="R375" s="153"/>
      <c r="S375" s="153"/>
      <c r="T375" s="153"/>
      <c r="V375" s="154"/>
      <c r="W375" s="154"/>
      <c r="X375" s="154"/>
    </row>
    <row r="376" spans="5:24" s="149" customFormat="1" x14ac:dyDescent="0.25">
      <c r="E376" s="171"/>
      <c r="F376" s="355"/>
      <c r="G376" s="356"/>
      <c r="H376" s="356"/>
      <c r="I376" s="356"/>
      <c r="J376" s="356"/>
      <c r="K376" s="357"/>
      <c r="L376" s="153"/>
      <c r="M376" s="153"/>
      <c r="N376" s="153"/>
      <c r="O376" s="153"/>
      <c r="P376" s="153"/>
      <c r="Q376" s="153"/>
      <c r="R376" s="153"/>
      <c r="S376" s="153"/>
      <c r="T376" s="153"/>
      <c r="V376" s="154"/>
      <c r="W376" s="154"/>
      <c r="X376" s="154"/>
    </row>
    <row r="377" spans="5:24" s="149" customFormat="1" x14ac:dyDescent="0.25">
      <c r="E377" s="171"/>
      <c r="F377" s="355"/>
      <c r="G377" s="356"/>
      <c r="H377" s="356"/>
      <c r="I377" s="356"/>
      <c r="J377" s="356"/>
      <c r="K377" s="357"/>
      <c r="L377" s="153"/>
      <c r="M377" s="153"/>
      <c r="N377" s="153"/>
      <c r="O377" s="153"/>
      <c r="P377" s="153"/>
      <c r="Q377" s="153"/>
      <c r="R377" s="153"/>
      <c r="S377" s="153"/>
      <c r="T377" s="153"/>
      <c r="V377" s="154"/>
      <c r="W377" s="154"/>
      <c r="X377" s="154"/>
    </row>
    <row r="378" spans="5:24" s="149" customFormat="1" x14ac:dyDescent="0.25">
      <c r="E378" s="171"/>
      <c r="F378" s="355"/>
      <c r="G378" s="356"/>
      <c r="H378" s="356"/>
      <c r="I378" s="356"/>
      <c r="J378" s="356"/>
      <c r="K378" s="357"/>
      <c r="L378" s="153"/>
      <c r="M378" s="153"/>
      <c r="N378" s="153"/>
      <c r="O378" s="153"/>
      <c r="P378" s="153"/>
      <c r="Q378" s="153"/>
      <c r="R378" s="153"/>
      <c r="S378" s="153"/>
      <c r="T378" s="153"/>
      <c r="V378" s="154"/>
      <c r="W378" s="154"/>
      <c r="X378" s="154"/>
    </row>
    <row r="379" spans="5:24" s="149" customFormat="1" x14ac:dyDescent="0.25">
      <c r="E379" s="171"/>
      <c r="F379" s="355"/>
      <c r="G379" s="356"/>
      <c r="H379" s="356"/>
      <c r="I379" s="356"/>
      <c r="J379" s="356"/>
      <c r="K379" s="357"/>
      <c r="L379" s="153"/>
      <c r="M379" s="153"/>
      <c r="N379" s="153"/>
      <c r="O379" s="153"/>
      <c r="P379" s="153"/>
      <c r="Q379" s="153"/>
      <c r="R379" s="153"/>
      <c r="S379" s="153"/>
      <c r="T379" s="153"/>
      <c r="V379" s="154"/>
      <c r="W379" s="154"/>
      <c r="X379" s="154"/>
    </row>
    <row r="380" spans="5:24" s="149" customFormat="1" x14ac:dyDescent="0.25">
      <c r="E380" s="171"/>
      <c r="F380" s="355"/>
      <c r="G380" s="356"/>
      <c r="H380" s="356"/>
      <c r="I380" s="356"/>
      <c r="J380" s="356"/>
      <c r="K380" s="357"/>
      <c r="L380" s="153"/>
      <c r="M380" s="153"/>
      <c r="N380" s="153"/>
      <c r="O380" s="153"/>
      <c r="P380" s="153"/>
      <c r="Q380" s="153"/>
      <c r="R380" s="153"/>
      <c r="S380" s="153"/>
      <c r="T380" s="153"/>
      <c r="V380" s="154"/>
      <c r="W380" s="154"/>
      <c r="X380" s="154"/>
    </row>
    <row r="381" spans="5:24" s="149" customFormat="1" x14ac:dyDescent="0.25">
      <c r="E381" s="171"/>
      <c r="F381" s="355"/>
      <c r="G381" s="356"/>
      <c r="H381" s="356"/>
      <c r="I381" s="356"/>
      <c r="J381" s="356"/>
      <c r="K381" s="357"/>
      <c r="L381" s="153"/>
      <c r="M381" s="153"/>
      <c r="N381" s="153"/>
      <c r="O381" s="153"/>
      <c r="P381" s="153"/>
      <c r="Q381" s="153"/>
      <c r="R381" s="153"/>
      <c r="S381" s="153"/>
      <c r="T381" s="153"/>
      <c r="V381" s="154"/>
      <c r="W381" s="154"/>
      <c r="X381" s="154"/>
    </row>
    <row r="382" spans="5:24" s="149" customFormat="1" x14ac:dyDescent="0.25">
      <c r="E382" s="171"/>
      <c r="F382" s="355"/>
      <c r="G382" s="356"/>
      <c r="H382" s="356"/>
      <c r="I382" s="356"/>
      <c r="J382" s="356"/>
      <c r="K382" s="357"/>
      <c r="L382" s="153"/>
      <c r="M382" s="153"/>
      <c r="N382" s="153"/>
      <c r="O382" s="153"/>
      <c r="P382" s="153"/>
      <c r="Q382" s="153"/>
      <c r="R382" s="153"/>
      <c r="S382" s="153"/>
      <c r="T382" s="153"/>
      <c r="V382" s="154"/>
      <c r="W382" s="154"/>
      <c r="X382" s="154"/>
    </row>
    <row r="383" spans="5:24" s="149" customFormat="1" x14ac:dyDescent="0.25">
      <c r="E383" s="171"/>
      <c r="F383" s="355"/>
      <c r="G383" s="356"/>
      <c r="H383" s="356"/>
      <c r="I383" s="356"/>
      <c r="J383" s="356"/>
      <c r="K383" s="357"/>
      <c r="L383" s="153"/>
      <c r="M383" s="153"/>
      <c r="N383" s="153"/>
      <c r="O383" s="153"/>
      <c r="P383" s="153"/>
      <c r="Q383" s="153"/>
      <c r="R383" s="153"/>
      <c r="S383" s="153"/>
      <c r="T383" s="153"/>
      <c r="V383" s="154"/>
      <c r="W383" s="154"/>
      <c r="X383" s="154"/>
    </row>
    <row r="384" spans="5:24" s="149" customFormat="1" x14ac:dyDescent="0.25">
      <c r="E384" s="171"/>
      <c r="F384" s="355"/>
      <c r="G384" s="356"/>
      <c r="H384" s="356"/>
      <c r="I384" s="356"/>
      <c r="J384" s="356"/>
      <c r="K384" s="357"/>
      <c r="L384" s="153"/>
      <c r="M384" s="153"/>
      <c r="N384" s="153"/>
      <c r="O384" s="153"/>
      <c r="P384" s="153"/>
      <c r="Q384" s="153"/>
      <c r="R384" s="153"/>
      <c r="S384" s="153"/>
      <c r="T384" s="153"/>
      <c r="V384" s="154"/>
      <c r="W384" s="154"/>
      <c r="X384" s="154"/>
    </row>
    <row r="385" spans="5:24" s="149" customFormat="1" x14ac:dyDescent="0.25">
      <c r="E385" s="171"/>
      <c r="F385" s="355"/>
      <c r="G385" s="356"/>
      <c r="H385" s="356"/>
      <c r="I385" s="356"/>
      <c r="J385" s="356"/>
      <c r="K385" s="357"/>
      <c r="L385" s="153"/>
      <c r="M385" s="153"/>
      <c r="N385" s="153"/>
      <c r="O385" s="153"/>
      <c r="P385" s="153"/>
      <c r="Q385" s="153"/>
      <c r="R385" s="153"/>
      <c r="S385" s="153"/>
      <c r="T385" s="153"/>
      <c r="V385" s="154"/>
      <c r="W385" s="154"/>
      <c r="X385" s="154"/>
    </row>
    <row r="386" spans="5:24" s="149" customFormat="1" x14ac:dyDescent="0.25">
      <c r="E386" s="171"/>
      <c r="F386" s="355"/>
      <c r="G386" s="356"/>
      <c r="H386" s="356"/>
      <c r="I386" s="356"/>
      <c r="J386" s="356"/>
      <c r="K386" s="357"/>
      <c r="L386" s="153"/>
      <c r="M386" s="153"/>
      <c r="N386" s="153"/>
      <c r="O386" s="153"/>
      <c r="P386" s="153"/>
      <c r="Q386" s="153"/>
      <c r="R386" s="153"/>
      <c r="S386" s="153"/>
      <c r="T386" s="153"/>
      <c r="V386" s="154"/>
      <c r="W386" s="154"/>
      <c r="X386" s="154"/>
    </row>
    <row r="387" spans="5:24" s="149" customFormat="1" x14ac:dyDescent="0.25">
      <c r="E387" s="171"/>
      <c r="F387" s="355"/>
      <c r="G387" s="356"/>
      <c r="H387" s="356"/>
      <c r="I387" s="356"/>
      <c r="J387" s="356"/>
      <c r="K387" s="357"/>
      <c r="L387" s="153"/>
      <c r="M387" s="153"/>
      <c r="N387" s="153"/>
      <c r="O387" s="153"/>
      <c r="P387" s="153"/>
      <c r="Q387" s="153"/>
      <c r="R387" s="153"/>
      <c r="S387" s="153"/>
      <c r="T387" s="153"/>
      <c r="V387" s="154"/>
      <c r="W387" s="154"/>
      <c r="X387" s="154"/>
    </row>
    <row r="388" spans="5:24" s="149" customFormat="1" x14ac:dyDescent="0.25">
      <c r="E388" s="171"/>
      <c r="F388" s="355"/>
      <c r="G388" s="356"/>
      <c r="H388" s="356"/>
      <c r="I388" s="356"/>
      <c r="J388" s="356"/>
      <c r="K388" s="357"/>
      <c r="L388" s="153"/>
      <c r="M388" s="153"/>
      <c r="N388" s="153"/>
      <c r="O388" s="153"/>
      <c r="P388" s="153"/>
      <c r="Q388" s="153"/>
      <c r="R388" s="153"/>
      <c r="S388" s="153"/>
      <c r="T388" s="153"/>
      <c r="V388" s="154"/>
      <c r="W388" s="154"/>
      <c r="X388" s="154"/>
    </row>
    <row r="389" spans="5:24" s="149" customFormat="1" x14ac:dyDescent="0.25">
      <c r="E389" s="171"/>
      <c r="F389" s="355"/>
      <c r="G389" s="356"/>
      <c r="H389" s="356"/>
      <c r="I389" s="356"/>
      <c r="J389" s="356"/>
      <c r="K389" s="357"/>
      <c r="L389" s="153"/>
      <c r="M389" s="153"/>
      <c r="N389" s="153"/>
      <c r="O389" s="153"/>
      <c r="P389" s="153"/>
      <c r="Q389" s="153"/>
      <c r="R389" s="153"/>
      <c r="S389" s="153"/>
      <c r="T389" s="153"/>
      <c r="V389" s="154"/>
      <c r="W389" s="154"/>
      <c r="X389" s="154"/>
    </row>
    <row r="390" spans="5:24" s="149" customFormat="1" x14ac:dyDescent="0.25">
      <c r="E390" s="171"/>
      <c r="F390" s="355"/>
      <c r="G390" s="356"/>
      <c r="H390" s="356"/>
      <c r="I390" s="356"/>
      <c r="J390" s="356"/>
      <c r="K390" s="357"/>
      <c r="L390" s="153"/>
      <c r="M390" s="153"/>
      <c r="N390" s="153"/>
      <c r="O390" s="153"/>
      <c r="P390" s="153"/>
      <c r="Q390" s="153"/>
      <c r="R390" s="153"/>
      <c r="S390" s="153"/>
      <c r="T390" s="153"/>
      <c r="V390" s="154"/>
      <c r="W390" s="154"/>
      <c r="X390" s="154"/>
    </row>
    <row r="391" spans="5:24" s="149" customFormat="1" x14ac:dyDescent="0.25">
      <c r="E391" s="171"/>
      <c r="F391" s="355"/>
      <c r="G391" s="356"/>
      <c r="H391" s="356"/>
      <c r="I391" s="356"/>
      <c r="J391" s="356"/>
      <c r="K391" s="357"/>
      <c r="L391" s="153"/>
      <c r="M391" s="153"/>
      <c r="N391" s="153"/>
      <c r="O391" s="153"/>
      <c r="P391" s="153"/>
      <c r="Q391" s="153"/>
      <c r="R391" s="153"/>
      <c r="S391" s="153"/>
      <c r="T391" s="153"/>
      <c r="V391" s="154"/>
      <c r="W391" s="154"/>
      <c r="X391" s="154"/>
    </row>
    <row r="392" spans="5:24" s="149" customFormat="1" x14ac:dyDescent="0.25">
      <c r="E392" s="171"/>
      <c r="F392" s="355"/>
      <c r="G392" s="356"/>
      <c r="H392" s="356"/>
      <c r="I392" s="356"/>
      <c r="J392" s="356"/>
      <c r="K392" s="357"/>
      <c r="L392" s="153"/>
      <c r="M392" s="153"/>
      <c r="N392" s="153"/>
      <c r="O392" s="153"/>
      <c r="P392" s="153"/>
      <c r="Q392" s="153"/>
      <c r="R392" s="153"/>
      <c r="S392" s="153"/>
      <c r="T392" s="153"/>
      <c r="V392" s="154"/>
      <c r="W392" s="154"/>
      <c r="X392" s="154"/>
    </row>
    <row r="393" spans="5:24" s="149" customFormat="1" x14ac:dyDescent="0.25">
      <c r="E393" s="171"/>
      <c r="F393" s="355"/>
      <c r="G393" s="356"/>
      <c r="H393" s="356"/>
      <c r="I393" s="356"/>
      <c r="J393" s="356"/>
      <c r="K393" s="357"/>
      <c r="L393" s="153"/>
      <c r="M393" s="153"/>
      <c r="N393" s="153"/>
      <c r="O393" s="153"/>
      <c r="P393" s="153"/>
      <c r="Q393" s="153"/>
      <c r="R393" s="153"/>
      <c r="S393" s="153"/>
      <c r="T393" s="153"/>
      <c r="V393" s="154"/>
      <c r="W393" s="154"/>
      <c r="X393" s="154"/>
    </row>
    <row r="394" spans="5:24" s="149" customFormat="1" x14ac:dyDescent="0.25">
      <c r="E394" s="171"/>
      <c r="F394" s="355"/>
      <c r="G394" s="356"/>
      <c r="H394" s="356"/>
      <c r="I394" s="356"/>
      <c r="J394" s="356"/>
      <c r="K394" s="357"/>
      <c r="L394" s="153"/>
      <c r="M394" s="153"/>
      <c r="N394" s="153"/>
      <c r="O394" s="153"/>
      <c r="P394" s="153"/>
      <c r="Q394" s="153"/>
      <c r="R394" s="153"/>
      <c r="S394" s="153"/>
      <c r="T394" s="153"/>
      <c r="V394" s="154"/>
      <c r="W394" s="154"/>
      <c r="X394" s="154"/>
    </row>
    <row r="395" spans="5:24" s="149" customFormat="1" x14ac:dyDescent="0.25">
      <c r="E395" s="171"/>
      <c r="F395" s="355"/>
      <c r="G395" s="356"/>
      <c r="H395" s="356"/>
      <c r="I395" s="356"/>
      <c r="J395" s="356"/>
      <c r="K395" s="357"/>
      <c r="L395" s="153"/>
      <c r="M395" s="153"/>
      <c r="N395" s="153"/>
      <c r="O395" s="153"/>
      <c r="P395" s="153"/>
      <c r="Q395" s="153"/>
      <c r="R395" s="153"/>
      <c r="S395" s="153"/>
      <c r="T395" s="153"/>
      <c r="V395" s="154"/>
      <c r="W395" s="154"/>
      <c r="X395" s="154"/>
    </row>
    <row r="396" spans="5:24" s="149" customFormat="1" x14ac:dyDescent="0.25">
      <c r="E396" s="171"/>
      <c r="F396" s="355"/>
      <c r="G396" s="356"/>
      <c r="H396" s="356"/>
      <c r="I396" s="356"/>
      <c r="J396" s="356"/>
      <c r="K396" s="357"/>
      <c r="L396" s="153"/>
      <c r="M396" s="153"/>
      <c r="N396" s="153"/>
      <c r="O396" s="153"/>
      <c r="P396" s="153"/>
      <c r="Q396" s="153"/>
      <c r="R396" s="153"/>
      <c r="S396" s="153"/>
      <c r="T396" s="153"/>
      <c r="V396" s="154"/>
      <c r="W396" s="154"/>
      <c r="X396" s="154"/>
    </row>
    <row r="397" spans="5:24" s="149" customFormat="1" x14ac:dyDescent="0.25">
      <c r="E397" s="171"/>
      <c r="F397" s="355"/>
      <c r="G397" s="356"/>
      <c r="H397" s="356"/>
      <c r="I397" s="356"/>
      <c r="J397" s="356"/>
      <c r="K397" s="357"/>
      <c r="L397" s="153"/>
      <c r="M397" s="153"/>
      <c r="N397" s="153"/>
      <c r="O397" s="153"/>
      <c r="P397" s="153"/>
      <c r="Q397" s="153"/>
      <c r="R397" s="153"/>
      <c r="S397" s="153"/>
      <c r="T397" s="153"/>
      <c r="V397" s="154"/>
      <c r="W397" s="154"/>
      <c r="X397" s="154"/>
    </row>
    <row r="398" spans="5:24" s="149" customFormat="1" x14ac:dyDescent="0.25">
      <c r="E398" s="171"/>
      <c r="F398" s="355"/>
      <c r="G398" s="356"/>
      <c r="H398" s="356"/>
      <c r="I398" s="356"/>
      <c r="J398" s="356"/>
      <c r="K398" s="357"/>
      <c r="L398" s="153"/>
      <c r="M398" s="153"/>
      <c r="N398" s="153"/>
      <c r="O398" s="153"/>
      <c r="P398" s="153"/>
      <c r="Q398" s="153"/>
      <c r="R398" s="153"/>
      <c r="S398" s="153"/>
      <c r="T398" s="153"/>
      <c r="V398" s="154"/>
      <c r="W398" s="154"/>
      <c r="X398" s="154"/>
    </row>
    <row r="399" spans="5:24" s="149" customFormat="1" x14ac:dyDescent="0.25">
      <c r="E399" s="171"/>
      <c r="F399" s="355"/>
      <c r="G399" s="356"/>
      <c r="H399" s="356"/>
      <c r="I399" s="356"/>
      <c r="J399" s="356"/>
      <c r="K399" s="357"/>
      <c r="L399" s="153"/>
      <c r="M399" s="153"/>
      <c r="N399" s="153"/>
      <c r="O399" s="153"/>
      <c r="P399" s="153"/>
      <c r="Q399" s="153"/>
      <c r="R399" s="153"/>
      <c r="S399" s="153"/>
      <c r="T399" s="153"/>
      <c r="V399" s="154"/>
      <c r="W399" s="154"/>
      <c r="X399" s="154"/>
    </row>
    <row r="400" spans="5:24" s="149" customFormat="1" x14ac:dyDescent="0.25">
      <c r="E400" s="171"/>
      <c r="F400" s="355"/>
      <c r="G400" s="356"/>
      <c r="H400" s="356"/>
      <c r="I400" s="356"/>
      <c r="J400" s="356"/>
      <c r="K400" s="357"/>
      <c r="L400" s="153"/>
      <c r="M400" s="153"/>
      <c r="N400" s="153"/>
      <c r="O400" s="153"/>
      <c r="P400" s="153"/>
      <c r="Q400" s="153"/>
      <c r="R400" s="153"/>
      <c r="S400" s="153"/>
      <c r="T400" s="153"/>
      <c r="V400" s="154"/>
      <c r="W400" s="154"/>
      <c r="X400" s="154"/>
    </row>
    <row r="401" spans="5:24" s="149" customFormat="1" x14ac:dyDescent="0.25">
      <c r="E401" s="171"/>
      <c r="F401" s="355"/>
      <c r="G401" s="356"/>
      <c r="H401" s="356"/>
      <c r="I401" s="356"/>
      <c r="J401" s="356"/>
      <c r="K401" s="357"/>
      <c r="L401" s="153"/>
      <c r="M401" s="153"/>
      <c r="N401" s="153"/>
      <c r="O401" s="153"/>
      <c r="P401" s="153"/>
      <c r="Q401" s="153"/>
      <c r="R401" s="153"/>
      <c r="S401" s="153"/>
      <c r="T401" s="153"/>
      <c r="V401" s="154"/>
      <c r="W401" s="154"/>
      <c r="X401" s="154"/>
    </row>
    <row r="402" spans="5:24" s="149" customFormat="1" x14ac:dyDescent="0.25">
      <c r="E402" s="171"/>
      <c r="F402" s="355"/>
      <c r="G402" s="356"/>
      <c r="H402" s="356"/>
      <c r="I402" s="356"/>
      <c r="J402" s="356"/>
      <c r="K402" s="357"/>
      <c r="L402" s="153"/>
      <c r="M402" s="153"/>
      <c r="N402" s="153"/>
      <c r="O402" s="153"/>
      <c r="P402" s="153"/>
      <c r="Q402" s="153"/>
      <c r="R402" s="153"/>
      <c r="S402" s="153"/>
      <c r="T402" s="153"/>
      <c r="V402" s="154"/>
      <c r="W402" s="154"/>
      <c r="X402" s="154"/>
    </row>
    <row r="403" spans="5:24" s="149" customFormat="1" x14ac:dyDescent="0.25">
      <c r="E403" s="171"/>
      <c r="F403" s="355"/>
      <c r="G403" s="356"/>
      <c r="H403" s="356"/>
      <c r="I403" s="356"/>
      <c r="J403" s="356"/>
      <c r="K403" s="357"/>
      <c r="L403" s="153"/>
      <c r="M403" s="153"/>
      <c r="N403" s="153"/>
      <c r="O403" s="153"/>
      <c r="P403" s="153"/>
      <c r="Q403" s="153"/>
      <c r="R403" s="153"/>
      <c r="S403" s="153"/>
      <c r="T403" s="153"/>
      <c r="V403" s="154"/>
      <c r="W403" s="154"/>
      <c r="X403" s="154"/>
    </row>
    <row r="404" spans="5:24" s="149" customFormat="1" x14ac:dyDescent="0.25">
      <c r="E404" s="171"/>
      <c r="F404" s="355"/>
      <c r="G404" s="356"/>
      <c r="H404" s="356"/>
      <c r="I404" s="356"/>
      <c r="J404" s="356"/>
      <c r="K404" s="357"/>
      <c r="L404" s="153"/>
      <c r="M404" s="153"/>
      <c r="N404" s="153"/>
      <c r="O404" s="153"/>
      <c r="P404" s="153"/>
      <c r="Q404" s="153"/>
      <c r="R404" s="153"/>
      <c r="S404" s="153"/>
      <c r="T404" s="153"/>
      <c r="V404" s="154"/>
      <c r="W404" s="154"/>
      <c r="X404" s="154"/>
    </row>
    <row r="405" spans="5:24" s="149" customFormat="1" x14ac:dyDescent="0.25">
      <c r="E405" s="171"/>
      <c r="F405" s="355"/>
      <c r="G405" s="356"/>
      <c r="H405" s="356"/>
      <c r="I405" s="356"/>
      <c r="J405" s="356"/>
      <c r="K405" s="357"/>
      <c r="L405" s="153"/>
      <c r="M405" s="153"/>
      <c r="N405" s="153"/>
      <c r="O405" s="153"/>
      <c r="P405" s="153"/>
      <c r="Q405" s="153"/>
      <c r="R405" s="153"/>
      <c r="S405" s="153"/>
      <c r="T405" s="153"/>
      <c r="V405" s="154"/>
      <c r="W405" s="154"/>
      <c r="X405" s="154"/>
    </row>
    <row r="406" spans="5:24" s="149" customFormat="1" x14ac:dyDescent="0.25">
      <c r="E406" s="171"/>
      <c r="F406" s="355"/>
      <c r="G406" s="356"/>
      <c r="H406" s="356"/>
      <c r="I406" s="356"/>
      <c r="J406" s="356"/>
      <c r="K406" s="357"/>
      <c r="L406" s="153"/>
      <c r="M406" s="153"/>
      <c r="N406" s="153"/>
      <c r="O406" s="153"/>
      <c r="P406" s="153"/>
      <c r="Q406" s="153"/>
      <c r="R406" s="153"/>
      <c r="S406" s="153"/>
      <c r="T406" s="153"/>
      <c r="V406" s="154"/>
      <c r="W406" s="154"/>
      <c r="X406" s="154"/>
    </row>
    <row r="407" spans="5:24" s="149" customFormat="1" x14ac:dyDescent="0.25">
      <c r="E407" s="171"/>
      <c r="F407" s="355"/>
      <c r="G407" s="356"/>
      <c r="H407" s="356"/>
      <c r="I407" s="356"/>
      <c r="J407" s="356"/>
      <c r="K407" s="357"/>
      <c r="L407" s="153"/>
      <c r="M407" s="153"/>
      <c r="N407" s="153"/>
      <c r="O407" s="153"/>
      <c r="P407" s="153"/>
      <c r="Q407" s="153"/>
      <c r="R407" s="153"/>
      <c r="S407" s="153"/>
      <c r="T407" s="153"/>
      <c r="V407" s="154"/>
      <c r="W407" s="154"/>
      <c r="X407" s="154"/>
    </row>
    <row r="408" spans="5:24" s="149" customFormat="1" x14ac:dyDescent="0.25">
      <c r="E408" s="171"/>
      <c r="F408" s="355"/>
      <c r="G408" s="356"/>
      <c r="H408" s="356"/>
      <c r="I408" s="356"/>
      <c r="J408" s="356"/>
      <c r="K408" s="357"/>
      <c r="L408" s="153"/>
      <c r="M408" s="153"/>
      <c r="N408" s="153"/>
      <c r="O408" s="153"/>
      <c r="P408" s="153"/>
      <c r="Q408" s="153"/>
      <c r="R408" s="153"/>
      <c r="S408" s="153"/>
      <c r="T408" s="153"/>
      <c r="V408" s="154"/>
      <c r="W408" s="154"/>
      <c r="X408" s="154"/>
    </row>
    <row r="409" spans="5:24" s="149" customFormat="1" x14ac:dyDescent="0.25">
      <c r="E409" s="171"/>
      <c r="F409" s="355"/>
      <c r="G409" s="356"/>
      <c r="H409" s="356"/>
      <c r="I409" s="356"/>
      <c r="J409" s="356"/>
      <c r="K409" s="357"/>
      <c r="L409" s="153"/>
      <c r="M409" s="153"/>
      <c r="N409" s="153"/>
      <c r="O409" s="153"/>
      <c r="P409" s="153"/>
      <c r="Q409" s="153"/>
      <c r="R409" s="153"/>
      <c r="S409" s="153"/>
      <c r="T409" s="153"/>
      <c r="V409" s="154"/>
      <c r="W409" s="154"/>
      <c r="X409" s="154"/>
    </row>
    <row r="410" spans="5:24" s="149" customFormat="1" x14ac:dyDescent="0.25">
      <c r="E410" s="171"/>
      <c r="F410" s="355"/>
      <c r="G410" s="356"/>
      <c r="H410" s="356"/>
      <c r="I410" s="356"/>
      <c r="J410" s="356"/>
      <c r="K410" s="357"/>
      <c r="L410" s="153"/>
      <c r="M410" s="153"/>
      <c r="N410" s="153"/>
      <c r="O410" s="153"/>
      <c r="P410" s="153"/>
      <c r="Q410" s="153"/>
      <c r="R410" s="153"/>
      <c r="S410" s="153"/>
      <c r="T410" s="153"/>
      <c r="V410" s="154"/>
      <c r="W410" s="154"/>
      <c r="X410" s="154"/>
    </row>
    <row r="411" spans="5:24" s="149" customFormat="1" x14ac:dyDescent="0.25">
      <c r="E411" s="171"/>
      <c r="F411" s="355"/>
      <c r="G411" s="356"/>
      <c r="H411" s="356"/>
      <c r="I411" s="356"/>
      <c r="J411" s="356"/>
      <c r="K411" s="357"/>
      <c r="L411" s="153"/>
      <c r="M411" s="153"/>
      <c r="N411" s="153"/>
      <c r="O411" s="153"/>
      <c r="P411" s="153"/>
      <c r="Q411" s="153"/>
      <c r="R411" s="153"/>
      <c r="S411" s="153"/>
      <c r="T411" s="153"/>
      <c r="V411" s="154"/>
      <c r="W411" s="154"/>
      <c r="X411" s="154"/>
    </row>
    <row r="412" spans="5:24" s="149" customFormat="1" x14ac:dyDescent="0.25">
      <c r="E412" s="171"/>
      <c r="F412" s="355"/>
      <c r="G412" s="356"/>
      <c r="H412" s="356"/>
      <c r="I412" s="356"/>
      <c r="J412" s="356"/>
      <c r="K412" s="357"/>
      <c r="L412" s="153"/>
      <c r="M412" s="153"/>
      <c r="N412" s="153"/>
      <c r="O412" s="153"/>
      <c r="P412" s="153"/>
      <c r="Q412" s="153"/>
      <c r="R412" s="153"/>
      <c r="S412" s="153"/>
      <c r="T412" s="153"/>
      <c r="V412" s="154"/>
      <c r="W412" s="154"/>
      <c r="X412" s="154"/>
    </row>
    <row r="413" spans="5:24" s="149" customFormat="1" x14ac:dyDescent="0.25">
      <c r="E413" s="171"/>
      <c r="F413" s="355"/>
      <c r="G413" s="356"/>
      <c r="H413" s="356"/>
      <c r="I413" s="356"/>
      <c r="J413" s="356"/>
      <c r="K413" s="357"/>
      <c r="L413" s="153"/>
      <c r="M413" s="153"/>
      <c r="N413" s="153"/>
      <c r="O413" s="153"/>
      <c r="P413" s="153"/>
      <c r="Q413" s="153"/>
      <c r="R413" s="153"/>
      <c r="S413" s="153"/>
      <c r="T413" s="153"/>
      <c r="V413" s="154"/>
      <c r="W413" s="154"/>
      <c r="X413" s="154"/>
    </row>
    <row r="414" spans="5:24" s="149" customFormat="1" x14ac:dyDescent="0.25">
      <c r="E414" s="171"/>
      <c r="F414" s="355"/>
      <c r="G414" s="356"/>
      <c r="H414" s="356"/>
      <c r="I414" s="356"/>
      <c r="J414" s="356"/>
      <c r="K414" s="357"/>
      <c r="L414" s="153"/>
      <c r="M414" s="153"/>
      <c r="N414" s="153"/>
      <c r="O414" s="153"/>
      <c r="P414" s="153"/>
      <c r="Q414" s="153"/>
      <c r="R414" s="153"/>
      <c r="S414" s="153"/>
      <c r="T414" s="153"/>
      <c r="V414" s="154"/>
      <c r="W414" s="154"/>
      <c r="X414" s="154"/>
    </row>
    <row r="415" spans="5:24" s="149" customFormat="1" x14ac:dyDescent="0.25">
      <c r="E415" s="171"/>
      <c r="F415" s="355"/>
      <c r="G415" s="356"/>
      <c r="H415" s="356"/>
      <c r="I415" s="356"/>
      <c r="J415" s="356"/>
      <c r="K415" s="357"/>
      <c r="L415" s="153"/>
      <c r="M415" s="153"/>
      <c r="N415" s="153"/>
      <c r="O415" s="153"/>
      <c r="P415" s="153"/>
      <c r="Q415" s="153"/>
      <c r="R415" s="153"/>
      <c r="S415" s="153"/>
      <c r="T415" s="153"/>
      <c r="V415" s="154"/>
      <c r="W415" s="154"/>
      <c r="X415" s="154"/>
    </row>
    <row r="416" spans="5:24" s="149" customFormat="1" x14ac:dyDescent="0.25">
      <c r="E416" s="171"/>
      <c r="F416" s="355"/>
      <c r="G416" s="356"/>
      <c r="H416" s="356"/>
      <c r="I416" s="356"/>
      <c r="J416" s="356"/>
      <c r="K416" s="357"/>
      <c r="L416" s="153"/>
      <c r="M416" s="153"/>
      <c r="N416" s="153"/>
      <c r="O416" s="153"/>
      <c r="P416" s="153"/>
      <c r="Q416" s="153"/>
      <c r="R416" s="153"/>
      <c r="S416" s="153"/>
      <c r="T416" s="153"/>
      <c r="V416" s="154"/>
      <c r="W416" s="154"/>
      <c r="X416" s="154"/>
    </row>
    <row r="417" spans="5:24" s="149" customFormat="1" x14ac:dyDescent="0.25">
      <c r="E417" s="171"/>
      <c r="F417" s="355"/>
      <c r="G417" s="356"/>
      <c r="H417" s="356"/>
      <c r="I417" s="356"/>
      <c r="J417" s="356"/>
      <c r="K417" s="357"/>
      <c r="L417" s="153"/>
      <c r="M417" s="153"/>
      <c r="N417" s="153"/>
      <c r="O417" s="153"/>
      <c r="P417" s="153"/>
      <c r="Q417" s="153"/>
      <c r="R417" s="153"/>
      <c r="S417" s="153"/>
      <c r="T417" s="153"/>
      <c r="V417" s="154"/>
      <c r="W417" s="154"/>
      <c r="X417" s="154"/>
    </row>
    <row r="418" spans="5:24" s="149" customFormat="1" x14ac:dyDescent="0.25">
      <c r="E418" s="171"/>
      <c r="F418" s="355"/>
      <c r="G418" s="356"/>
      <c r="H418" s="356"/>
      <c r="I418" s="356"/>
      <c r="J418" s="356"/>
      <c r="K418" s="357"/>
      <c r="L418" s="153"/>
      <c r="M418" s="153"/>
      <c r="N418" s="153"/>
      <c r="O418" s="153"/>
      <c r="P418" s="153"/>
      <c r="Q418" s="153"/>
      <c r="R418" s="153"/>
      <c r="S418" s="153"/>
      <c r="T418" s="153"/>
      <c r="V418" s="154"/>
      <c r="W418" s="154"/>
      <c r="X418" s="154"/>
    </row>
    <row r="419" spans="5:24" s="149" customFormat="1" x14ac:dyDescent="0.25">
      <c r="E419" s="171"/>
      <c r="F419" s="355"/>
      <c r="G419" s="356"/>
      <c r="H419" s="356"/>
      <c r="I419" s="356"/>
      <c r="J419" s="356"/>
      <c r="K419" s="357"/>
      <c r="L419" s="153"/>
      <c r="M419" s="153"/>
      <c r="N419" s="153"/>
      <c r="O419" s="153"/>
      <c r="P419" s="153"/>
      <c r="Q419" s="153"/>
      <c r="R419" s="153"/>
      <c r="S419" s="153"/>
      <c r="T419" s="153"/>
      <c r="V419" s="154"/>
      <c r="W419" s="154"/>
      <c r="X419" s="154"/>
    </row>
    <row r="420" spans="5:24" s="149" customFormat="1" x14ac:dyDescent="0.25">
      <c r="E420" s="171"/>
      <c r="F420" s="355"/>
      <c r="G420" s="356"/>
      <c r="H420" s="356"/>
      <c r="I420" s="356"/>
      <c r="J420" s="356"/>
      <c r="K420" s="357"/>
      <c r="L420" s="153"/>
      <c r="M420" s="153"/>
      <c r="N420" s="153"/>
      <c r="O420" s="153"/>
      <c r="P420" s="153"/>
      <c r="Q420" s="153"/>
      <c r="R420" s="153"/>
      <c r="S420" s="153"/>
      <c r="T420" s="153"/>
      <c r="V420" s="154"/>
      <c r="W420" s="154"/>
      <c r="X420" s="154"/>
    </row>
    <row r="421" spans="5:24" s="149" customFormat="1" x14ac:dyDescent="0.25">
      <c r="E421" s="171"/>
      <c r="F421" s="355"/>
      <c r="G421" s="356"/>
      <c r="H421" s="356"/>
      <c r="I421" s="356"/>
      <c r="J421" s="356"/>
      <c r="K421" s="357"/>
      <c r="L421" s="153"/>
      <c r="M421" s="153"/>
      <c r="N421" s="153"/>
      <c r="O421" s="153"/>
      <c r="P421" s="153"/>
      <c r="Q421" s="153"/>
      <c r="R421" s="153"/>
      <c r="S421" s="153"/>
      <c r="T421" s="153"/>
      <c r="V421" s="154"/>
      <c r="W421" s="154"/>
      <c r="X421" s="154"/>
    </row>
    <row r="422" spans="5:24" s="149" customFormat="1" x14ac:dyDescent="0.25">
      <c r="E422" s="171"/>
      <c r="F422" s="355"/>
      <c r="G422" s="356"/>
      <c r="H422" s="356"/>
      <c r="I422" s="356"/>
      <c r="J422" s="356"/>
      <c r="K422" s="357"/>
      <c r="L422" s="153"/>
      <c r="M422" s="153"/>
      <c r="N422" s="153"/>
      <c r="O422" s="153"/>
      <c r="P422" s="153"/>
      <c r="Q422" s="153"/>
      <c r="R422" s="153"/>
      <c r="S422" s="153"/>
      <c r="T422" s="153"/>
      <c r="V422" s="154"/>
      <c r="W422" s="154"/>
      <c r="X422" s="154"/>
    </row>
    <row r="423" spans="5:24" s="149" customFormat="1" x14ac:dyDescent="0.25">
      <c r="E423" s="171"/>
      <c r="F423" s="355"/>
      <c r="G423" s="356"/>
      <c r="H423" s="356"/>
      <c r="I423" s="356"/>
      <c r="J423" s="356"/>
      <c r="K423" s="357"/>
      <c r="L423" s="153"/>
      <c r="M423" s="153"/>
      <c r="N423" s="153"/>
      <c r="O423" s="153"/>
      <c r="P423" s="153"/>
      <c r="Q423" s="153"/>
      <c r="R423" s="153"/>
      <c r="S423" s="153"/>
      <c r="T423" s="153"/>
      <c r="V423" s="154"/>
      <c r="W423" s="154"/>
      <c r="X423" s="154"/>
    </row>
    <row r="424" spans="5:24" s="149" customFormat="1" x14ac:dyDescent="0.25">
      <c r="E424" s="171"/>
      <c r="F424" s="355"/>
      <c r="G424" s="356"/>
      <c r="H424" s="356"/>
      <c r="I424" s="356"/>
      <c r="J424" s="356"/>
      <c r="K424" s="357"/>
      <c r="L424" s="153"/>
      <c r="M424" s="153"/>
      <c r="N424" s="153"/>
      <c r="O424" s="153"/>
      <c r="P424" s="153"/>
      <c r="Q424" s="153"/>
      <c r="R424" s="153"/>
      <c r="S424" s="153"/>
      <c r="T424" s="153"/>
      <c r="V424" s="154"/>
      <c r="W424" s="154"/>
      <c r="X424" s="154"/>
    </row>
    <row r="425" spans="5:24" s="149" customFormat="1" x14ac:dyDescent="0.25">
      <c r="E425" s="171"/>
      <c r="F425" s="355"/>
      <c r="G425" s="356"/>
      <c r="H425" s="356"/>
      <c r="I425" s="356"/>
      <c r="J425" s="356"/>
      <c r="K425" s="357"/>
      <c r="L425" s="153"/>
      <c r="M425" s="153"/>
      <c r="N425" s="153"/>
      <c r="O425" s="153"/>
      <c r="P425" s="153"/>
      <c r="Q425" s="153"/>
      <c r="R425" s="153"/>
      <c r="S425" s="153"/>
      <c r="T425" s="153"/>
      <c r="V425" s="154"/>
      <c r="W425" s="154"/>
      <c r="X425" s="154"/>
    </row>
    <row r="426" spans="5:24" s="149" customFormat="1" x14ac:dyDescent="0.25">
      <c r="E426" s="171"/>
      <c r="F426" s="355"/>
      <c r="G426" s="356"/>
      <c r="H426" s="356"/>
      <c r="I426" s="356"/>
      <c r="J426" s="356"/>
      <c r="K426" s="357"/>
      <c r="L426" s="153"/>
      <c r="M426" s="153"/>
      <c r="N426" s="153"/>
      <c r="O426" s="153"/>
      <c r="P426" s="153"/>
      <c r="Q426" s="153"/>
      <c r="R426" s="153"/>
      <c r="S426" s="153"/>
      <c r="T426" s="153"/>
      <c r="V426" s="154"/>
      <c r="W426" s="154"/>
      <c r="X426" s="154"/>
    </row>
    <row r="427" spans="5:24" s="149" customFormat="1" x14ac:dyDescent="0.25">
      <c r="E427" s="171"/>
      <c r="F427" s="355"/>
      <c r="G427" s="356"/>
      <c r="H427" s="356"/>
      <c r="I427" s="356"/>
      <c r="J427" s="356"/>
      <c r="K427" s="357"/>
      <c r="L427" s="153"/>
      <c r="M427" s="153"/>
      <c r="N427" s="153"/>
      <c r="O427" s="153"/>
      <c r="P427" s="153"/>
      <c r="Q427" s="153"/>
      <c r="R427" s="153"/>
      <c r="S427" s="153"/>
      <c r="T427" s="153"/>
      <c r="V427" s="154"/>
      <c r="W427" s="154"/>
      <c r="X427" s="154"/>
    </row>
    <row r="428" spans="5:24" s="149" customFormat="1" x14ac:dyDescent="0.25">
      <c r="E428" s="171"/>
      <c r="F428" s="355"/>
      <c r="G428" s="356"/>
      <c r="H428" s="356"/>
      <c r="I428" s="356"/>
      <c r="J428" s="356"/>
      <c r="K428" s="357"/>
      <c r="L428" s="153"/>
      <c r="M428" s="153"/>
      <c r="N428" s="153"/>
      <c r="O428" s="153"/>
      <c r="P428" s="153"/>
      <c r="Q428" s="153"/>
      <c r="R428" s="153"/>
      <c r="S428" s="153"/>
      <c r="T428" s="153"/>
      <c r="V428" s="154"/>
      <c r="W428" s="154"/>
      <c r="X428" s="154"/>
    </row>
    <row r="429" spans="5:24" s="149" customFormat="1" x14ac:dyDescent="0.25">
      <c r="E429" s="171"/>
      <c r="F429" s="355"/>
      <c r="G429" s="356"/>
      <c r="H429" s="356"/>
      <c r="I429" s="356"/>
      <c r="J429" s="356"/>
      <c r="K429" s="357"/>
      <c r="L429" s="153"/>
      <c r="M429" s="153"/>
      <c r="N429" s="153"/>
      <c r="O429" s="153"/>
      <c r="P429" s="153"/>
      <c r="Q429" s="153"/>
      <c r="R429" s="153"/>
      <c r="S429" s="153"/>
      <c r="T429" s="153"/>
      <c r="V429" s="154"/>
      <c r="W429" s="154"/>
      <c r="X429" s="154"/>
    </row>
    <row r="430" spans="5:24" s="149" customFormat="1" x14ac:dyDescent="0.25">
      <c r="E430" s="171"/>
      <c r="F430" s="355"/>
      <c r="G430" s="356"/>
      <c r="H430" s="356"/>
      <c r="I430" s="356"/>
      <c r="J430" s="356"/>
      <c r="K430" s="357"/>
      <c r="L430" s="153"/>
      <c r="M430" s="153"/>
      <c r="N430" s="153"/>
      <c r="O430" s="153"/>
      <c r="P430" s="153"/>
      <c r="Q430" s="153"/>
      <c r="R430" s="153"/>
      <c r="S430" s="153"/>
      <c r="T430" s="153"/>
      <c r="V430" s="154"/>
      <c r="W430" s="154"/>
      <c r="X430" s="154"/>
    </row>
    <row r="431" spans="5:24" s="149" customFormat="1" x14ac:dyDescent="0.25">
      <c r="E431" s="171"/>
      <c r="F431" s="355"/>
      <c r="G431" s="356"/>
      <c r="H431" s="356"/>
      <c r="I431" s="356"/>
      <c r="J431" s="356"/>
      <c r="K431" s="357"/>
      <c r="L431" s="153"/>
      <c r="M431" s="153"/>
      <c r="N431" s="153"/>
      <c r="O431" s="153"/>
      <c r="P431" s="153"/>
      <c r="Q431" s="153"/>
      <c r="R431" s="153"/>
      <c r="S431" s="153"/>
      <c r="T431" s="153"/>
      <c r="V431" s="154"/>
      <c r="W431" s="154"/>
      <c r="X431" s="154"/>
    </row>
    <row r="432" spans="5:24" s="149" customFormat="1" x14ac:dyDescent="0.25">
      <c r="E432" s="171"/>
      <c r="F432" s="355"/>
      <c r="G432" s="356"/>
      <c r="H432" s="356"/>
      <c r="I432" s="356"/>
      <c r="J432" s="356"/>
      <c r="K432" s="357"/>
      <c r="L432" s="153"/>
      <c r="M432" s="153"/>
      <c r="N432" s="153"/>
      <c r="O432" s="153"/>
      <c r="P432" s="153"/>
      <c r="Q432" s="153"/>
      <c r="R432" s="153"/>
      <c r="S432" s="153"/>
      <c r="T432" s="153"/>
      <c r="V432" s="154"/>
      <c r="W432" s="154"/>
      <c r="X432" s="154"/>
    </row>
    <row r="433" spans="5:24" s="149" customFormat="1" x14ac:dyDescent="0.25">
      <c r="E433" s="171"/>
      <c r="F433" s="355"/>
      <c r="G433" s="356"/>
      <c r="H433" s="356"/>
      <c r="I433" s="356"/>
      <c r="J433" s="356"/>
      <c r="K433" s="357"/>
      <c r="L433" s="153"/>
      <c r="M433" s="153"/>
      <c r="N433" s="153"/>
      <c r="O433" s="153"/>
      <c r="P433" s="153"/>
      <c r="Q433" s="153"/>
      <c r="R433" s="153"/>
      <c r="S433" s="153"/>
      <c r="T433" s="153"/>
      <c r="V433" s="154"/>
      <c r="W433" s="154"/>
      <c r="X433" s="154"/>
    </row>
    <row r="434" spans="5:24" s="149" customFormat="1" x14ac:dyDescent="0.25">
      <c r="E434" s="171"/>
      <c r="F434" s="355"/>
      <c r="G434" s="356"/>
      <c r="H434" s="356"/>
      <c r="I434" s="356"/>
      <c r="J434" s="356"/>
      <c r="K434" s="357"/>
      <c r="L434" s="153"/>
      <c r="M434" s="153"/>
      <c r="N434" s="153"/>
      <c r="O434" s="153"/>
      <c r="P434" s="153"/>
      <c r="Q434" s="153"/>
      <c r="R434" s="153"/>
      <c r="S434" s="153"/>
      <c r="T434" s="153"/>
      <c r="V434" s="154"/>
      <c r="W434" s="154"/>
      <c r="X434" s="154"/>
    </row>
    <row r="435" spans="5:24" s="149" customFormat="1" x14ac:dyDescent="0.25">
      <c r="E435" s="171"/>
      <c r="F435" s="355"/>
      <c r="G435" s="356"/>
      <c r="H435" s="356"/>
      <c r="I435" s="356"/>
      <c r="J435" s="356"/>
      <c r="K435" s="357"/>
      <c r="L435" s="153"/>
      <c r="M435" s="153"/>
      <c r="N435" s="153"/>
      <c r="O435" s="153"/>
      <c r="P435" s="153"/>
      <c r="Q435" s="153"/>
      <c r="R435" s="153"/>
      <c r="S435" s="153"/>
      <c r="T435" s="153"/>
      <c r="V435" s="154"/>
      <c r="W435" s="154"/>
      <c r="X435" s="154"/>
    </row>
    <row r="436" spans="5:24" s="149" customFormat="1" x14ac:dyDescent="0.25">
      <c r="E436" s="171"/>
      <c r="F436" s="355"/>
      <c r="G436" s="356"/>
      <c r="H436" s="356"/>
      <c r="I436" s="356"/>
      <c r="J436" s="356"/>
      <c r="K436" s="357"/>
      <c r="L436" s="153"/>
      <c r="M436" s="153"/>
      <c r="N436" s="153"/>
      <c r="O436" s="153"/>
      <c r="P436" s="153"/>
      <c r="Q436" s="153"/>
      <c r="R436" s="153"/>
      <c r="S436" s="153"/>
      <c r="T436" s="153"/>
      <c r="V436" s="154"/>
      <c r="W436" s="154"/>
      <c r="X436" s="154"/>
    </row>
    <row r="437" spans="5:24" s="149" customFormat="1" x14ac:dyDescent="0.25">
      <c r="E437" s="171"/>
      <c r="F437" s="355"/>
      <c r="G437" s="356"/>
      <c r="H437" s="356"/>
      <c r="I437" s="356"/>
      <c r="J437" s="356"/>
      <c r="K437" s="357"/>
      <c r="L437" s="153"/>
      <c r="M437" s="153"/>
      <c r="N437" s="153"/>
      <c r="O437" s="153"/>
      <c r="P437" s="153"/>
      <c r="Q437" s="153"/>
      <c r="R437" s="153"/>
      <c r="S437" s="153"/>
      <c r="T437" s="153"/>
      <c r="V437" s="154"/>
      <c r="W437" s="154"/>
      <c r="X437" s="154"/>
    </row>
    <row r="438" spans="5:24" s="149" customFormat="1" x14ac:dyDescent="0.25">
      <c r="E438" s="171"/>
      <c r="F438" s="355"/>
      <c r="G438" s="356"/>
      <c r="H438" s="356"/>
      <c r="I438" s="356"/>
      <c r="J438" s="356"/>
      <c r="K438" s="357"/>
      <c r="L438" s="153"/>
      <c r="M438" s="153"/>
      <c r="N438" s="153"/>
      <c r="O438" s="153"/>
      <c r="P438" s="153"/>
      <c r="Q438" s="153"/>
      <c r="R438" s="153"/>
      <c r="S438" s="153"/>
      <c r="T438" s="153"/>
      <c r="V438" s="154"/>
      <c r="W438" s="154"/>
      <c r="X438" s="154"/>
    </row>
    <row r="439" spans="5:24" s="149" customFormat="1" x14ac:dyDescent="0.25">
      <c r="E439" s="171"/>
      <c r="F439" s="355"/>
      <c r="G439" s="356"/>
      <c r="H439" s="356"/>
      <c r="I439" s="356"/>
      <c r="J439" s="356"/>
      <c r="K439" s="357"/>
      <c r="L439" s="153"/>
      <c r="M439" s="153"/>
      <c r="N439" s="153"/>
      <c r="O439" s="153"/>
      <c r="P439" s="153"/>
      <c r="Q439" s="153"/>
      <c r="R439" s="153"/>
      <c r="S439" s="153"/>
      <c r="T439" s="153"/>
      <c r="V439" s="154"/>
      <c r="W439" s="154"/>
      <c r="X439" s="154"/>
    </row>
    <row r="440" spans="5:24" s="149" customFormat="1" x14ac:dyDescent="0.25">
      <c r="E440" s="171"/>
      <c r="F440" s="355"/>
      <c r="G440" s="356"/>
      <c r="H440" s="356"/>
      <c r="I440" s="356"/>
      <c r="J440" s="356"/>
      <c r="K440" s="357"/>
      <c r="L440" s="153"/>
      <c r="M440" s="153"/>
      <c r="N440" s="153"/>
      <c r="O440" s="153"/>
      <c r="P440" s="153"/>
      <c r="Q440" s="153"/>
      <c r="R440" s="153"/>
      <c r="S440" s="153"/>
      <c r="T440" s="153"/>
      <c r="V440" s="154"/>
      <c r="W440" s="154"/>
      <c r="X440" s="154"/>
    </row>
    <row r="441" spans="5:24" s="149" customFormat="1" x14ac:dyDescent="0.25">
      <c r="E441" s="171"/>
      <c r="F441" s="355"/>
      <c r="G441" s="356"/>
      <c r="H441" s="356"/>
      <c r="I441" s="356"/>
      <c r="J441" s="356"/>
      <c r="K441" s="357"/>
      <c r="L441" s="153"/>
      <c r="M441" s="153"/>
      <c r="N441" s="153"/>
      <c r="O441" s="153"/>
      <c r="P441" s="153"/>
      <c r="Q441" s="153"/>
      <c r="R441" s="153"/>
      <c r="S441" s="153"/>
      <c r="T441" s="153"/>
      <c r="V441" s="154"/>
      <c r="W441" s="154"/>
      <c r="X441" s="154"/>
    </row>
    <row r="442" spans="5:24" s="149" customFormat="1" x14ac:dyDescent="0.25">
      <c r="E442" s="171"/>
      <c r="F442" s="355"/>
      <c r="G442" s="356"/>
      <c r="H442" s="356"/>
      <c r="I442" s="356"/>
      <c r="J442" s="356"/>
      <c r="K442" s="357"/>
      <c r="L442" s="153"/>
      <c r="M442" s="153"/>
      <c r="N442" s="153"/>
      <c r="O442" s="153"/>
      <c r="P442" s="153"/>
      <c r="Q442" s="153"/>
      <c r="R442" s="153"/>
      <c r="S442" s="153"/>
      <c r="T442" s="153"/>
      <c r="V442" s="154"/>
      <c r="W442" s="154"/>
      <c r="X442" s="154"/>
    </row>
    <row r="443" spans="5:24" s="149" customFormat="1" x14ac:dyDescent="0.25">
      <c r="E443" s="171"/>
      <c r="F443" s="355"/>
      <c r="G443" s="356"/>
      <c r="H443" s="356"/>
      <c r="I443" s="356"/>
      <c r="J443" s="356"/>
      <c r="K443" s="357"/>
      <c r="L443" s="153"/>
      <c r="M443" s="153"/>
      <c r="N443" s="153"/>
      <c r="O443" s="153"/>
      <c r="P443" s="153"/>
      <c r="Q443" s="153"/>
      <c r="R443" s="153"/>
      <c r="S443" s="153"/>
      <c r="T443" s="153"/>
      <c r="V443" s="154"/>
      <c r="W443" s="154"/>
      <c r="X443" s="154"/>
    </row>
    <row r="444" spans="5:24" s="149" customFormat="1" x14ac:dyDescent="0.25">
      <c r="E444" s="171"/>
      <c r="F444" s="355"/>
      <c r="G444" s="356"/>
      <c r="H444" s="356"/>
      <c r="I444" s="356"/>
      <c r="J444" s="356"/>
      <c r="K444" s="357"/>
      <c r="L444" s="153"/>
      <c r="M444" s="153"/>
      <c r="N444" s="153"/>
      <c r="O444" s="153"/>
      <c r="P444" s="153"/>
      <c r="Q444" s="153"/>
      <c r="R444" s="153"/>
      <c r="S444" s="153"/>
      <c r="T444" s="153"/>
      <c r="V444" s="154"/>
      <c r="W444" s="154"/>
      <c r="X444" s="154"/>
    </row>
    <row r="445" spans="5:24" s="149" customFormat="1" x14ac:dyDescent="0.25">
      <c r="E445" s="171"/>
      <c r="F445" s="355"/>
      <c r="G445" s="356"/>
      <c r="H445" s="356"/>
      <c r="I445" s="356"/>
      <c r="J445" s="356"/>
      <c r="K445" s="357"/>
      <c r="L445" s="153"/>
      <c r="M445" s="153"/>
      <c r="N445" s="153"/>
      <c r="O445" s="153"/>
      <c r="P445" s="153"/>
      <c r="Q445" s="153"/>
      <c r="R445" s="153"/>
      <c r="S445" s="153"/>
      <c r="T445" s="153"/>
      <c r="V445" s="154"/>
      <c r="W445" s="154"/>
      <c r="X445" s="154"/>
    </row>
    <row r="446" spans="5:24" s="149" customFormat="1" x14ac:dyDescent="0.25">
      <c r="E446" s="171"/>
      <c r="F446" s="355"/>
      <c r="G446" s="356"/>
      <c r="H446" s="356"/>
      <c r="I446" s="356"/>
      <c r="J446" s="356"/>
      <c r="K446" s="357"/>
      <c r="L446" s="153"/>
      <c r="M446" s="153"/>
      <c r="N446" s="153"/>
      <c r="O446" s="153"/>
      <c r="P446" s="153"/>
      <c r="Q446" s="153"/>
      <c r="R446" s="153"/>
      <c r="S446" s="153"/>
      <c r="T446" s="153"/>
      <c r="V446" s="154"/>
      <c r="W446" s="154"/>
      <c r="X446" s="154"/>
    </row>
    <row r="447" spans="5:24" s="149" customFormat="1" x14ac:dyDescent="0.25">
      <c r="E447" s="171"/>
      <c r="F447" s="355"/>
      <c r="G447" s="356"/>
      <c r="H447" s="356"/>
      <c r="I447" s="356"/>
      <c r="J447" s="356"/>
      <c r="K447" s="357"/>
      <c r="L447" s="153"/>
      <c r="M447" s="153"/>
      <c r="N447" s="153"/>
      <c r="O447" s="153"/>
      <c r="P447" s="153"/>
      <c r="Q447" s="153"/>
      <c r="R447" s="153"/>
      <c r="S447" s="153"/>
      <c r="T447" s="153"/>
      <c r="V447" s="154"/>
      <c r="W447" s="154"/>
      <c r="X447" s="154"/>
    </row>
    <row r="448" spans="5:24" s="149" customFormat="1" x14ac:dyDescent="0.25">
      <c r="E448" s="171"/>
      <c r="F448" s="355"/>
      <c r="G448" s="356"/>
      <c r="H448" s="356"/>
      <c r="I448" s="356"/>
      <c r="J448" s="356"/>
      <c r="K448" s="357"/>
      <c r="L448" s="153"/>
      <c r="M448" s="153"/>
      <c r="N448" s="153"/>
      <c r="O448" s="153"/>
      <c r="P448" s="153"/>
      <c r="Q448" s="153"/>
      <c r="R448" s="153"/>
      <c r="S448" s="153"/>
      <c r="T448" s="153"/>
      <c r="V448" s="154"/>
      <c r="W448" s="154"/>
      <c r="X448" s="154"/>
    </row>
    <row r="449" spans="5:24" s="149" customFormat="1" x14ac:dyDescent="0.25">
      <c r="E449" s="171"/>
      <c r="F449" s="355"/>
      <c r="G449" s="356"/>
      <c r="H449" s="356"/>
      <c r="I449" s="356"/>
      <c r="J449" s="356"/>
      <c r="K449" s="357"/>
      <c r="L449" s="153"/>
      <c r="M449" s="153"/>
      <c r="N449" s="153"/>
      <c r="O449" s="153"/>
      <c r="P449" s="153"/>
      <c r="Q449" s="153"/>
      <c r="R449" s="153"/>
      <c r="S449" s="153"/>
      <c r="T449" s="153"/>
      <c r="V449" s="154"/>
      <c r="W449" s="154"/>
      <c r="X449" s="154"/>
    </row>
    <row r="450" spans="5:24" s="149" customFormat="1" x14ac:dyDescent="0.25">
      <c r="E450" s="171"/>
      <c r="F450" s="355"/>
      <c r="G450" s="356"/>
      <c r="H450" s="356"/>
      <c r="I450" s="356"/>
      <c r="J450" s="356"/>
      <c r="K450" s="357"/>
      <c r="L450" s="153"/>
      <c r="M450" s="153"/>
      <c r="N450" s="153"/>
      <c r="O450" s="153"/>
      <c r="P450" s="153"/>
      <c r="Q450" s="153"/>
      <c r="R450" s="153"/>
      <c r="S450" s="153"/>
      <c r="T450" s="153"/>
      <c r="V450" s="154"/>
      <c r="W450" s="154"/>
      <c r="X450" s="154"/>
    </row>
    <row r="451" spans="5:24" s="149" customFormat="1" x14ac:dyDescent="0.25">
      <c r="E451" s="171"/>
      <c r="F451" s="355"/>
      <c r="G451" s="356"/>
      <c r="H451" s="356"/>
      <c r="I451" s="356"/>
      <c r="J451" s="356"/>
      <c r="K451" s="357"/>
      <c r="L451" s="153"/>
      <c r="M451" s="153"/>
      <c r="N451" s="153"/>
      <c r="O451" s="153"/>
      <c r="P451" s="153"/>
      <c r="Q451" s="153"/>
      <c r="R451" s="153"/>
      <c r="S451" s="153"/>
      <c r="T451" s="153"/>
      <c r="V451" s="154"/>
      <c r="W451" s="154"/>
      <c r="X451" s="154"/>
    </row>
    <row r="452" spans="5:24" s="149" customFormat="1" x14ac:dyDescent="0.25">
      <c r="E452" s="171"/>
      <c r="F452" s="355"/>
      <c r="G452" s="356"/>
      <c r="H452" s="356"/>
      <c r="I452" s="356"/>
      <c r="J452" s="356"/>
      <c r="K452" s="357"/>
      <c r="L452" s="153"/>
      <c r="M452" s="153"/>
      <c r="N452" s="153"/>
      <c r="O452" s="153"/>
      <c r="P452" s="153"/>
      <c r="Q452" s="153"/>
      <c r="R452" s="153"/>
      <c r="S452" s="153"/>
      <c r="T452" s="153"/>
      <c r="V452" s="154"/>
      <c r="W452" s="154"/>
      <c r="X452" s="154"/>
    </row>
    <row r="453" spans="5:24" s="149" customFormat="1" x14ac:dyDescent="0.25">
      <c r="E453" s="171"/>
      <c r="F453" s="355"/>
      <c r="G453" s="356"/>
      <c r="H453" s="356"/>
      <c r="I453" s="356"/>
      <c r="J453" s="356"/>
      <c r="K453" s="357"/>
      <c r="L453" s="153"/>
      <c r="M453" s="153"/>
      <c r="N453" s="153"/>
      <c r="O453" s="153"/>
      <c r="P453" s="153"/>
      <c r="Q453" s="153"/>
      <c r="R453" s="153"/>
      <c r="S453" s="153"/>
      <c r="T453" s="153"/>
      <c r="V453" s="154"/>
      <c r="W453" s="154"/>
      <c r="X453" s="154"/>
    </row>
    <row r="454" spans="5:24" s="149" customFormat="1" x14ac:dyDescent="0.25">
      <c r="E454" s="171"/>
      <c r="F454" s="355"/>
      <c r="G454" s="356"/>
      <c r="H454" s="356"/>
      <c r="I454" s="356"/>
      <c r="J454" s="356"/>
      <c r="K454" s="357"/>
      <c r="L454" s="153"/>
      <c r="M454" s="153"/>
      <c r="N454" s="153"/>
      <c r="O454" s="153"/>
      <c r="P454" s="153"/>
      <c r="Q454" s="153"/>
      <c r="R454" s="153"/>
      <c r="S454" s="153"/>
      <c r="T454" s="153"/>
      <c r="V454" s="154"/>
      <c r="W454" s="154"/>
      <c r="X454" s="154"/>
    </row>
    <row r="455" spans="5:24" s="149" customFormat="1" x14ac:dyDescent="0.25">
      <c r="E455" s="171"/>
      <c r="F455" s="355"/>
      <c r="G455" s="356"/>
      <c r="H455" s="356"/>
      <c r="I455" s="356"/>
      <c r="J455" s="356"/>
      <c r="K455" s="357"/>
      <c r="L455" s="153"/>
      <c r="M455" s="153"/>
      <c r="N455" s="153"/>
      <c r="O455" s="153"/>
      <c r="P455" s="153"/>
      <c r="Q455" s="153"/>
      <c r="R455" s="153"/>
      <c r="S455" s="153"/>
      <c r="T455" s="153"/>
      <c r="V455" s="154"/>
      <c r="W455" s="154"/>
      <c r="X455" s="154"/>
    </row>
    <row r="456" spans="5:24" s="149" customFormat="1" x14ac:dyDescent="0.25">
      <c r="E456" s="171"/>
      <c r="F456" s="355"/>
      <c r="G456" s="356"/>
      <c r="H456" s="356"/>
      <c r="I456" s="356"/>
      <c r="J456" s="356"/>
      <c r="K456" s="357"/>
      <c r="L456" s="153"/>
      <c r="M456" s="153"/>
      <c r="N456" s="153"/>
      <c r="O456" s="153"/>
      <c r="P456" s="153"/>
      <c r="Q456" s="153"/>
      <c r="R456" s="153"/>
      <c r="S456" s="153"/>
      <c r="T456" s="153"/>
      <c r="V456" s="154"/>
      <c r="W456" s="154"/>
      <c r="X456" s="154"/>
    </row>
    <row r="457" spans="5:24" s="149" customFormat="1" x14ac:dyDescent="0.25">
      <c r="E457" s="171"/>
      <c r="F457" s="355"/>
      <c r="G457" s="356"/>
      <c r="H457" s="356"/>
      <c r="I457" s="356"/>
      <c r="J457" s="356"/>
      <c r="K457" s="357"/>
      <c r="L457" s="153"/>
      <c r="M457" s="153"/>
      <c r="N457" s="153"/>
      <c r="O457" s="153"/>
      <c r="P457" s="153"/>
      <c r="Q457" s="153"/>
      <c r="R457" s="153"/>
      <c r="S457" s="153"/>
      <c r="T457" s="153"/>
      <c r="V457" s="154"/>
      <c r="W457" s="154"/>
      <c r="X457" s="154"/>
    </row>
    <row r="458" spans="5:24" s="149" customFormat="1" x14ac:dyDescent="0.25">
      <c r="E458" s="171"/>
      <c r="F458" s="355"/>
      <c r="G458" s="356"/>
      <c r="H458" s="356"/>
      <c r="I458" s="356"/>
      <c r="J458" s="356"/>
      <c r="K458" s="357"/>
      <c r="L458" s="153"/>
      <c r="M458" s="153"/>
      <c r="N458" s="153"/>
      <c r="O458" s="153"/>
      <c r="P458" s="153"/>
      <c r="Q458" s="153"/>
      <c r="R458" s="153"/>
      <c r="S458" s="153"/>
      <c r="T458" s="153"/>
      <c r="V458" s="154"/>
      <c r="W458" s="154"/>
      <c r="X458" s="154"/>
    </row>
    <row r="459" spans="5:24" s="149" customFormat="1" x14ac:dyDescent="0.25">
      <c r="E459" s="171"/>
      <c r="F459" s="355"/>
      <c r="G459" s="356"/>
      <c r="H459" s="356"/>
      <c r="I459" s="356"/>
      <c r="J459" s="356"/>
      <c r="K459" s="357"/>
      <c r="L459" s="153"/>
      <c r="M459" s="153"/>
      <c r="N459" s="153"/>
      <c r="O459" s="153"/>
      <c r="P459" s="153"/>
      <c r="Q459" s="153"/>
      <c r="R459" s="153"/>
      <c r="S459" s="153"/>
      <c r="T459" s="153"/>
      <c r="V459" s="154"/>
      <c r="W459" s="154"/>
      <c r="X459" s="154"/>
    </row>
    <row r="460" spans="5:24" s="149" customFormat="1" x14ac:dyDescent="0.25">
      <c r="E460" s="171"/>
      <c r="F460" s="355"/>
      <c r="G460" s="356"/>
      <c r="H460" s="356"/>
      <c r="I460" s="356"/>
      <c r="J460" s="356"/>
      <c r="K460" s="357"/>
      <c r="L460" s="153"/>
      <c r="M460" s="153"/>
      <c r="N460" s="153"/>
      <c r="O460" s="153"/>
      <c r="P460" s="153"/>
      <c r="Q460" s="153"/>
      <c r="R460" s="153"/>
      <c r="S460" s="153"/>
      <c r="T460" s="153"/>
      <c r="V460" s="154"/>
      <c r="W460" s="154"/>
      <c r="X460" s="154"/>
    </row>
    <row r="461" spans="5:24" s="149" customFormat="1" x14ac:dyDescent="0.25">
      <c r="E461" s="171"/>
      <c r="F461" s="355"/>
      <c r="G461" s="356"/>
      <c r="H461" s="356"/>
      <c r="I461" s="356"/>
      <c r="J461" s="356"/>
      <c r="K461" s="357"/>
      <c r="L461" s="153"/>
      <c r="M461" s="153"/>
      <c r="N461" s="153"/>
      <c r="O461" s="153"/>
      <c r="P461" s="153"/>
      <c r="Q461" s="153"/>
      <c r="R461" s="153"/>
      <c r="S461" s="153"/>
      <c r="T461" s="153"/>
      <c r="V461" s="154"/>
      <c r="W461" s="154"/>
      <c r="X461" s="154"/>
    </row>
    <row r="462" spans="5:24" s="149" customFormat="1" x14ac:dyDescent="0.25">
      <c r="E462" s="171"/>
      <c r="F462" s="355"/>
      <c r="G462" s="356"/>
      <c r="H462" s="356"/>
      <c r="I462" s="356"/>
      <c r="J462" s="356"/>
      <c r="K462" s="357"/>
      <c r="L462" s="153"/>
      <c r="M462" s="153"/>
      <c r="N462" s="153"/>
      <c r="O462" s="153"/>
      <c r="P462" s="153"/>
      <c r="Q462" s="153"/>
      <c r="R462" s="153"/>
      <c r="S462" s="153"/>
      <c r="T462" s="153"/>
      <c r="V462" s="154"/>
      <c r="W462" s="154"/>
      <c r="X462" s="154"/>
    </row>
    <row r="463" spans="5:24" s="149" customFormat="1" x14ac:dyDescent="0.25">
      <c r="E463" s="171"/>
      <c r="F463" s="355"/>
      <c r="G463" s="356"/>
      <c r="H463" s="356"/>
      <c r="I463" s="356"/>
      <c r="J463" s="356"/>
      <c r="K463" s="357"/>
      <c r="L463" s="153"/>
      <c r="M463" s="153"/>
      <c r="N463" s="153"/>
      <c r="O463" s="153"/>
      <c r="P463" s="153"/>
      <c r="Q463" s="153"/>
      <c r="R463" s="153"/>
      <c r="S463" s="153"/>
      <c r="T463" s="153"/>
      <c r="V463" s="154"/>
      <c r="W463" s="154"/>
      <c r="X463" s="154"/>
    </row>
    <row r="464" spans="5:24" s="149" customFormat="1" x14ac:dyDescent="0.25">
      <c r="E464" s="171"/>
      <c r="F464" s="355"/>
      <c r="G464" s="356"/>
      <c r="H464" s="356"/>
      <c r="I464" s="356"/>
      <c r="J464" s="356"/>
      <c r="K464" s="357"/>
      <c r="L464" s="153"/>
      <c r="M464" s="153"/>
      <c r="N464" s="153"/>
      <c r="O464" s="153"/>
      <c r="P464" s="153"/>
      <c r="Q464" s="153"/>
      <c r="R464" s="153"/>
      <c r="S464" s="153"/>
      <c r="T464" s="153"/>
      <c r="V464" s="154"/>
      <c r="W464" s="154"/>
      <c r="X464" s="154"/>
    </row>
    <row r="465" spans="5:24" s="149" customFormat="1" x14ac:dyDescent="0.25">
      <c r="E465" s="171"/>
      <c r="F465" s="355"/>
      <c r="G465" s="356"/>
      <c r="H465" s="356"/>
      <c r="I465" s="356"/>
      <c r="J465" s="356"/>
      <c r="K465" s="357"/>
      <c r="L465" s="153"/>
      <c r="M465" s="153"/>
      <c r="N465" s="153"/>
      <c r="O465" s="153"/>
      <c r="P465" s="153"/>
      <c r="Q465" s="153"/>
      <c r="R465" s="153"/>
      <c r="S465" s="153"/>
      <c r="T465" s="153"/>
      <c r="V465" s="154"/>
      <c r="W465" s="154"/>
      <c r="X465" s="154"/>
    </row>
    <row r="466" spans="5:24" s="149" customFormat="1" x14ac:dyDescent="0.25">
      <c r="E466" s="171"/>
      <c r="F466" s="355"/>
      <c r="G466" s="356"/>
      <c r="H466" s="356"/>
      <c r="I466" s="356"/>
      <c r="J466" s="356"/>
      <c r="K466" s="357"/>
      <c r="L466" s="153"/>
      <c r="M466" s="153"/>
      <c r="N466" s="153"/>
      <c r="O466" s="153"/>
      <c r="P466" s="153"/>
      <c r="Q466" s="153"/>
      <c r="R466" s="153"/>
      <c r="S466" s="153"/>
      <c r="T466" s="153"/>
      <c r="V466" s="154"/>
      <c r="W466" s="154"/>
      <c r="X466" s="154"/>
    </row>
    <row r="467" spans="5:24" s="149" customFormat="1" x14ac:dyDescent="0.25">
      <c r="E467" s="171"/>
      <c r="F467" s="355"/>
      <c r="G467" s="356"/>
      <c r="H467" s="356"/>
      <c r="I467" s="356"/>
      <c r="J467" s="356"/>
      <c r="K467" s="357"/>
      <c r="L467" s="153"/>
      <c r="M467" s="153"/>
      <c r="N467" s="153"/>
      <c r="O467" s="153"/>
      <c r="P467" s="153"/>
      <c r="Q467" s="153"/>
      <c r="R467" s="153"/>
      <c r="S467" s="153"/>
      <c r="T467" s="153"/>
      <c r="V467" s="154"/>
      <c r="W467" s="154"/>
      <c r="X467" s="154"/>
    </row>
    <row r="468" spans="5:24" s="149" customFormat="1" x14ac:dyDescent="0.25">
      <c r="E468" s="171"/>
      <c r="F468" s="355"/>
      <c r="G468" s="356"/>
      <c r="H468" s="356"/>
      <c r="I468" s="356"/>
      <c r="J468" s="356"/>
      <c r="K468" s="357"/>
      <c r="L468" s="153"/>
      <c r="M468" s="153"/>
      <c r="N468" s="153"/>
      <c r="O468" s="153"/>
      <c r="P468" s="153"/>
      <c r="Q468" s="153"/>
      <c r="R468" s="153"/>
      <c r="S468" s="153"/>
      <c r="T468" s="153"/>
      <c r="V468" s="154"/>
      <c r="W468" s="154"/>
      <c r="X468" s="154"/>
    </row>
    <row r="469" spans="5:24" s="149" customFormat="1" x14ac:dyDescent="0.25">
      <c r="E469" s="171"/>
      <c r="F469" s="355"/>
      <c r="G469" s="356"/>
      <c r="H469" s="356"/>
      <c r="I469" s="356"/>
      <c r="J469" s="356"/>
      <c r="K469" s="357"/>
      <c r="L469" s="153"/>
      <c r="M469" s="153"/>
      <c r="N469" s="153"/>
      <c r="O469" s="153"/>
      <c r="P469" s="153"/>
      <c r="Q469" s="153"/>
      <c r="R469" s="153"/>
      <c r="S469" s="153"/>
      <c r="T469" s="153"/>
      <c r="V469" s="154"/>
      <c r="W469" s="154"/>
      <c r="X469" s="154"/>
    </row>
    <row r="470" spans="5:24" s="149" customFormat="1" x14ac:dyDescent="0.25">
      <c r="E470" s="171"/>
      <c r="F470" s="355"/>
      <c r="G470" s="356"/>
      <c r="H470" s="356"/>
      <c r="I470" s="356"/>
      <c r="J470" s="356"/>
      <c r="K470" s="357"/>
      <c r="L470" s="153"/>
      <c r="M470" s="153"/>
      <c r="N470" s="153"/>
      <c r="O470" s="153"/>
      <c r="P470" s="153"/>
      <c r="Q470" s="153"/>
      <c r="R470" s="153"/>
      <c r="S470" s="153"/>
      <c r="T470" s="153"/>
      <c r="V470" s="154"/>
      <c r="W470" s="154"/>
      <c r="X470" s="154"/>
    </row>
    <row r="471" spans="5:24" s="149" customFormat="1" x14ac:dyDescent="0.25">
      <c r="E471" s="171"/>
      <c r="F471" s="355"/>
      <c r="G471" s="356"/>
      <c r="H471" s="356"/>
      <c r="I471" s="356"/>
      <c r="J471" s="356"/>
      <c r="K471" s="357"/>
      <c r="L471" s="153"/>
      <c r="M471" s="153"/>
      <c r="N471" s="153"/>
      <c r="O471" s="153"/>
      <c r="P471" s="153"/>
      <c r="Q471" s="153"/>
      <c r="R471" s="153"/>
      <c r="S471" s="153"/>
      <c r="T471" s="153"/>
      <c r="V471" s="154"/>
      <c r="W471" s="154"/>
      <c r="X471" s="154"/>
    </row>
    <row r="472" spans="5:24" s="149" customFormat="1" x14ac:dyDescent="0.25">
      <c r="E472" s="171"/>
      <c r="F472" s="355"/>
      <c r="G472" s="356"/>
      <c r="H472" s="356"/>
      <c r="I472" s="356"/>
      <c r="J472" s="356"/>
      <c r="K472" s="357"/>
      <c r="L472" s="153"/>
      <c r="M472" s="153"/>
      <c r="N472" s="153"/>
      <c r="O472" s="153"/>
      <c r="P472" s="153"/>
      <c r="Q472" s="153"/>
      <c r="R472" s="153"/>
      <c r="S472" s="153"/>
      <c r="T472" s="153"/>
      <c r="V472" s="154"/>
      <c r="W472" s="154"/>
      <c r="X472" s="154"/>
    </row>
    <row r="473" spans="5:24" s="149" customFormat="1" x14ac:dyDescent="0.25">
      <c r="E473" s="171"/>
      <c r="F473" s="355"/>
      <c r="G473" s="356"/>
      <c r="H473" s="356"/>
      <c r="I473" s="356"/>
      <c r="J473" s="356"/>
      <c r="K473" s="357"/>
      <c r="L473" s="153"/>
      <c r="M473" s="153"/>
      <c r="N473" s="153"/>
      <c r="O473" s="153"/>
      <c r="P473" s="153"/>
      <c r="Q473" s="153"/>
      <c r="R473" s="153"/>
      <c r="S473" s="153"/>
      <c r="T473" s="153"/>
      <c r="V473" s="154"/>
      <c r="W473" s="154"/>
      <c r="X473" s="154"/>
    </row>
    <row r="474" spans="5:24" x14ac:dyDescent="0.25">
      <c r="K474" s="174"/>
    </row>
    <row r="475" spans="5:24" x14ac:dyDescent="0.25">
      <c r="K475" s="174"/>
    </row>
  </sheetData>
  <dataConsolidate/>
  <conditionalFormatting sqref="F23:F32">
    <cfRule type="containsText" dxfId="94" priority="131" operator="containsText" text="No Upgrade">
      <formula>NOT(ISERROR(SEARCH("No Upgrade",F23)))</formula>
    </cfRule>
    <cfRule type="containsText" dxfId="93" priority="132" operator="containsText" text="No Upgrade">
      <formula>NOT(ISERROR(SEARCH("No Upgrade",F23)))</formula>
    </cfRule>
    <cfRule type="containsText" dxfId="92" priority="135" operator="containsText" text="Upgrade 1">
      <formula>NOT(ISERROR(SEARCH("Upgrade 1",F23)))</formula>
    </cfRule>
  </conditionalFormatting>
  <conditionalFormatting sqref="F24:F32">
    <cfRule type="containsText" dxfId="91" priority="134" operator="containsText" text="Upgrade 2">
      <formula>NOT(ISERROR(SEARCH("Upgrade 2",F24)))</formula>
    </cfRule>
  </conditionalFormatting>
  <conditionalFormatting sqref="F25:F32">
    <cfRule type="containsText" dxfId="90" priority="133" operator="containsText" text="Upgrade 3">
      <formula>NOT(ISERROR(SEARCH("Upgrade 3",F25)))</formula>
    </cfRule>
  </conditionalFormatting>
  <conditionalFormatting sqref="F26:F32">
    <cfRule type="containsText" dxfId="89" priority="125" operator="containsText" text="Upgrade 4">
      <formula>NOT(ISERROR(SEARCH("Upgrade 4",F26)))</formula>
    </cfRule>
  </conditionalFormatting>
  <conditionalFormatting sqref="F27:F32">
    <cfRule type="containsText" dxfId="88" priority="117" operator="containsText" text="Upgrade 5">
      <formula>NOT(ISERROR(SEARCH("Upgrade 5",F27)))</formula>
    </cfRule>
    <cfRule type="containsText" dxfId="87" priority="118" operator="containsText" text="Upgrade 5">
      <formula>NOT(ISERROR(SEARCH("Upgrade 5",F27)))</formula>
    </cfRule>
  </conditionalFormatting>
  <conditionalFormatting sqref="F23">
    <cfRule type="containsText" dxfId="86" priority="57" operator="containsText" text="No Updates">
      <formula>NOT(ISERROR(SEARCH("No Updates",F23)))</formula>
    </cfRule>
  </conditionalFormatting>
  <conditionalFormatting sqref="E6">
    <cfRule type="containsText" dxfId="85" priority="47" operator="containsText" text="No Upgrade">
      <formula>NOT(ISERROR(SEARCH("No Upgrade",E6)))</formula>
    </cfRule>
    <cfRule type="containsText" dxfId="84" priority="48" operator="containsText" text="No Upgrade">
      <formula>NOT(ISERROR(SEARCH("No Upgrade",E6)))</formula>
    </cfRule>
    <cfRule type="containsText" dxfId="83" priority="51" operator="containsText" text="Upgrade 1">
      <formula>NOT(ISERROR(SEARCH("Upgrade 1",E6)))</formula>
    </cfRule>
  </conditionalFormatting>
  <conditionalFormatting sqref="E6">
    <cfRule type="containsText" dxfId="82" priority="50" operator="containsText" text="Upgrade 2">
      <formula>NOT(ISERROR(SEARCH("Upgrade 2",E6)))</formula>
    </cfRule>
  </conditionalFormatting>
  <conditionalFormatting sqref="E6">
    <cfRule type="containsText" dxfId="81" priority="49" operator="containsText" text="Upgrade 3">
      <formula>NOT(ISERROR(SEARCH("Upgrade 3",E6)))</formula>
    </cfRule>
  </conditionalFormatting>
  <conditionalFormatting sqref="G12">
    <cfRule type="containsText" dxfId="80" priority="25" operator="containsText" text="Not required">
      <formula>NOT(ISERROR(SEARCH("Not required",G12)))</formula>
    </cfRule>
    <cfRule type="containsText" dxfId="79" priority="26" operator="containsText" text="Not Required">
      <formula>NOT(ISERROR(SEARCH("Not Required",G12)))</formula>
    </cfRule>
  </conditionalFormatting>
  <dataValidations count="1">
    <dataValidation type="list" allowBlank="1" showInputMessage="1" showErrorMessage="1" sqref="G22" xr:uid="{867807B8-BE0D-4DB5-8C87-413768C190AF}">
      <formula1>$E$22:$E$32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84" r:id="rId4" name="Button 16">
              <controlPr defaultSize="0" print="0" autoFill="0" autoPict="0" macro="[0]!Dashboard">
                <anchor moveWithCells="1" sizeWithCells="1">
                  <from>
                    <xdr:col>4</xdr:col>
                    <xdr:colOff>28575</xdr:colOff>
                    <xdr:row>13</xdr:row>
                    <xdr:rowOff>114300</xdr:rowOff>
                  </from>
                  <to>
                    <xdr:col>4</xdr:col>
                    <xdr:colOff>1533525</xdr:colOff>
                    <xdr:row>15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" r:id="rId5" name="Button 17">
              <controlPr defaultSize="0" print="0" autoFill="0" autoPict="0" macro="[0]!Upgrades">
                <anchor moveWithCells="1" sizeWithCells="1">
                  <from>
                    <xdr:col>4</xdr:col>
                    <xdr:colOff>0</xdr:colOff>
                    <xdr:row>17</xdr:row>
                    <xdr:rowOff>114300</xdr:rowOff>
                  </from>
                  <to>
                    <xdr:col>4</xdr:col>
                    <xdr:colOff>1562100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" r:id="rId6" name="Button 24">
              <controlPr defaultSize="0" print="0" autoFill="0" autoPict="0" macro="[0]!Cost_Elements">
                <anchor moveWithCells="1" sizeWithCells="1">
                  <from>
                    <xdr:col>9</xdr:col>
                    <xdr:colOff>228600</xdr:colOff>
                    <xdr:row>10</xdr:row>
                    <xdr:rowOff>28575</xdr:rowOff>
                  </from>
                  <to>
                    <xdr:col>9</xdr:col>
                    <xdr:colOff>2171700</xdr:colOff>
                    <xdr:row>13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" r:id="rId7" name="Button 31">
              <controlPr defaultSize="0" print="0" autoFill="0" autoPict="0" macro="[0]!ResetModel">
                <anchor moveWithCells="1" sizeWithCells="1">
                  <from>
                    <xdr:col>9</xdr:col>
                    <xdr:colOff>219075</xdr:colOff>
                    <xdr:row>4</xdr:row>
                    <xdr:rowOff>152400</xdr:rowOff>
                  </from>
                  <to>
                    <xdr:col>9</xdr:col>
                    <xdr:colOff>2162175</xdr:colOff>
                    <xdr:row>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7" r:id="rId8" name="Button 39">
              <controlPr defaultSize="0" print="0" autoFill="0" autoPict="0" macro="[0]!Calculations">
                <anchor moveWithCells="1" sizeWithCells="1">
                  <from>
                    <xdr:col>9</xdr:col>
                    <xdr:colOff>257175</xdr:colOff>
                    <xdr:row>15</xdr:row>
                    <xdr:rowOff>28575</xdr:rowOff>
                  </from>
                  <to>
                    <xdr:col>9</xdr:col>
                    <xdr:colOff>2181225</xdr:colOff>
                    <xdr:row>18</xdr:row>
                    <xdr:rowOff>38100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6">
        <x14:dataValidation type="list" allowBlank="1" showInputMessage="1" showErrorMessage="1" xr:uid="{A07F2ACD-7C5F-46B3-9A75-BD5FB647C8C4}">
          <x14:formula1>
            <xm:f>Calculations!$Y$3:$Y$13</xm:f>
          </x14:formula1>
          <xm:sqref>G8</xm:sqref>
        </x14:dataValidation>
        <x14:dataValidation type="list" allowBlank="1" showInputMessage="1" showErrorMessage="1" xr:uid="{0A9F408E-75ED-430F-9E82-A3F8626DBC81}">
          <x14:formula1>
            <xm:f>Calculations!$C$130:$C$139</xm:f>
          </x14:formula1>
          <xm:sqref>F12:G12</xm:sqref>
        </x14:dataValidation>
        <x14:dataValidation type="list" allowBlank="1" showInputMessage="1" showErrorMessage="1" xr:uid="{49CFFDA8-166B-4A0F-9672-F7CB20772A66}">
          <x14:formula1>
            <xm:f>Calculations!$C$121:$C$128</xm:f>
          </x14:formula1>
          <xm:sqref>F11:G11</xm:sqref>
        </x14:dataValidation>
        <x14:dataValidation type="list" allowBlank="1" showInputMessage="1" showErrorMessage="1" xr:uid="{B90AAEE6-2471-40F8-85E0-4814E111D772}">
          <x14:formula1>
            <xm:f>Calculations!$C$54:$C$112</xm:f>
          </x14:formula1>
          <xm:sqref>G7</xm:sqref>
        </x14:dataValidation>
        <x14:dataValidation type="list" allowBlank="1" showInputMessage="1" showErrorMessage="1" xr:uid="{ADE9A863-F35A-4B2B-8B65-0B1762A7E0FC}">
          <x14:formula1>
            <xm:f>Calculations!$X$3:$X$19</xm:f>
          </x14:formula1>
          <xm:sqref>F10</xm:sqref>
        </x14:dataValidation>
        <x14:dataValidation type="list" allowBlank="1" showInputMessage="1" showErrorMessage="1" xr:uid="{617B10F2-47DE-45B2-A9B9-70CF6D374EF4}">
          <x14:formula1>
            <xm:f>Calculations!$C$38:$C$53</xm:f>
          </x14:formula1>
          <xm:sqref>F7:G7</xm:sqref>
        </x14:dataValidation>
        <x14:dataValidation type="list" allowBlank="1" showInputMessage="1" showErrorMessage="1" xr:uid="{038E3DA0-CE95-4A35-9399-3B69E6D8C80F}">
          <x14:formula1>
            <xm:f>Calculations!$U$3</xm:f>
          </x14:formula1>
          <xm:sqref>F22</xm:sqref>
        </x14:dataValidation>
        <x14:dataValidation type="list" allowBlank="1" showInputMessage="1" showErrorMessage="1" xr:uid="{BAB6C9A3-A9D8-456C-AAF4-D4785F2B6C44}">
          <x14:formula1>
            <xm:f>Calculations!$U$3:$U$5</xm:f>
          </x14:formula1>
          <xm:sqref>F23</xm:sqref>
        </x14:dataValidation>
        <x14:dataValidation type="list" allowBlank="1" showInputMessage="1" showErrorMessage="1" xr:uid="{822D2915-9BD1-4323-86E0-71F4939F71BF}">
          <x14:formula1>
            <xm:f>Calculations!$U$3:$U$6</xm:f>
          </x14:formula1>
          <xm:sqref>F24</xm:sqref>
        </x14:dataValidation>
        <x14:dataValidation type="list" allowBlank="1" showInputMessage="1" showErrorMessage="1" xr:uid="{40CC08A1-688F-4CB3-836A-82A37144D97A}">
          <x14:formula1>
            <xm:f>Calculations!$U$3:$U$7</xm:f>
          </x14:formula1>
          <xm:sqref>F25</xm:sqref>
        </x14:dataValidation>
        <x14:dataValidation type="list" allowBlank="1" showInputMessage="1" showErrorMessage="1" xr:uid="{51963719-64C4-4906-90B6-338708C925ED}">
          <x14:formula1>
            <xm:f>Calculations!$U$3:$U$8</xm:f>
          </x14:formula1>
          <xm:sqref>F26</xm:sqref>
        </x14:dataValidation>
        <x14:dataValidation type="list" allowBlank="1" showInputMessage="1" showErrorMessage="1" xr:uid="{799339D9-2D2D-4325-BFD9-291069B050FD}">
          <x14:formula1>
            <xm:f>Calculations!$U$3:$U$9</xm:f>
          </x14:formula1>
          <xm:sqref>F27:F32</xm:sqref>
        </x14:dataValidation>
        <x14:dataValidation type="list" allowBlank="1" showInputMessage="1" showErrorMessage="1" xr:uid="{1B5F6D19-B1E6-4CFF-B4C9-D67D38AC7012}">
          <x14:formula1>
            <xm:f>Calculations!$C$140:$C$146</xm:f>
          </x14:formula1>
          <xm:sqref>F13:G13</xm:sqref>
        </x14:dataValidation>
        <x14:dataValidation type="list" allowBlank="1" showInputMessage="1" showErrorMessage="1" xr:uid="{97251A7A-B8DF-4FC4-BDBA-3AF0A37D9A01}">
          <x14:formula1>
            <xm:f>Calculations!$C$113:$C$119</xm:f>
          </x14:formula1>
          <xm:sqref>F9:G9</xm:sqref>
        </x14:dataValidation>
        <x14:dataValidation type="list" allowBlank="1" showInputMessage="1" showErrorMessage="1" xr:uid="{2E7C7BB2-AC8F-47B8-B15E-2385DC066FA7}">
          <x14:formula1>
            <xm:f>Calculations!$Y$3:$Y$19</xm:f>
          </x14:formula1>
          <xm:sqref>F8</xm:sqref>
        </x14:dataValidation>
        <x14:dataValidation type="list" allowBlank="1" showInputMessage="1" showErrorMessage="1" xr:uid="{1F55B852-84B3-4BA2-B175-9B2679AA236D}">
          <x14:formula1>
            <xm:f>Calculations!$Y$3:$Y$8</xm:f>
          </x14:formula1>
          <xm:sqref>G8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CE59DF-E971-4E36-9716-6AC9AAF95DD9}">
  <sheetPr codeName="Sheet9">
    <tabColor rgb="FFFFC000"/>
  </sheetPr>
  <dimension ref="B1:BR1212"/>
  <sheetViews>
    <sheetView zoomScale="115" zoomScaleNormal="115" workbookViewId="0">
      <selection activeCell="E15" sqref="E15"/>
    </sheetView>
  </sheetViews>
  <sheetFormatPr defaultColWidth="8.7109375" defaultRowHeight="15" x14ac:dyDescent="0.25"/>
  <cols>
    <col min="1" max="1" width="2.7109375" style="260" customWidth="1"/>
    <col min="2" max="2" width="10.7109375" style="260" customWidth="1"/>
    <col min="3" max="3" width="33" style="260" customWidth="1"/>
    <col min="4" max="4" width="2.7109375" style="260" customWidth="1"/>
    <col min="5" max="7" width="20.7109375" style="260" customWidth="1"/>
    <col min="8" max="8" width="2.7109375" style="263" customWidth="1"/>
    <col min="9" max="9" width="12.7109375" style="260" customWidth="1"/>
    <col min="10" max="10" width="35.7109375" style="260" customWidth="1"/>
    <col min="11" max="11" width="2.7109375" style="260" customWidth="1"/>
    <col min="12" max="70" width="8.7109375" style="261"/>
    <col min="71" max="16384" width="8.7109375" style="260"/>
  </cols>
  <sheetData>
    <row r="1" spans="2:10" ht="36.950000000000003" customHeight="1" x14ac:dyDescent="0.25">
      <c r="B1" s="343"/>
      <c r="C1" s="343"/>
      <c r="D1" s="343"/>
      <c r="E1" s="343"/>
      <c r="F1" s="343"/>
      <c r="G1" s="343"/>
      <c r="H1" s="343"/>
      <c r="I1" s="343"/>
      <c r="J1" s="343"/>
    </row>
    <row r="2" spans="2:10" x14ac:dyDescent="0.25">
      <c r="B2" s="262"/>
      <c r="C2" s="262"/>
      <c r="J2" s="262"/>
    </row>
    <row r="3" spans="2:10" ht="17.100000000000001" customHeight="1" x14ac:dyDescent="0.25">
      <c r="B3" s="264" t="s">
        <v>120</v>
      </c>
      <c r="C3" s="262"/>
      <c r="E3" s="265" t="s">
        <v>120</v>
      </c>
      <c r="F3" s="161" t="s">
        <v>13</v>
      </c>
      <c r="G3" s="162" t="s">
        <v>185</v>
      </c>
      <c r="J3" s="262"/>
    </row>
    <row r="4" spans="2:10" ht="12" customHeight="1" x14ac:dyDescent="0.25">
      <c r="B4" s="266"/>
      <c r="C4" s="262"/>
      <c r="D4" s="155"/>
      <c r="E4" s="267" t="s">
        <v>92</v>
      </c>
      <c r="F4" s="125" t="s">
        <v>102</v>
      </c>
      <c r="G4" s="126" t="s">
        <v>134</v>
      </c>
      <c r="J4" s="262"/>
    </row>
    <row r="5" spans="2:10" ht="12" customHeight="1" x14ac:dyDescent="0.25">
      <c r="B5" s="262"/>
      <c r="C5" s="262"/>
      <c r="D5" s="155"/>
      <c r="E5" s="267" t="s">
        <v>119</v>
      </c>
      <c r="F5" s="125">
        <v>2</v>
      </c>
      <c r="G5" s="126">
        <v>2</v>
      </c>
      <c r="J5" s="262"/>
    </row>
    <row r="6" spans="2:10" ht="12" customHeight="1" x14ac:dyDescent="0.25">
      <c r="B6" s="262"/>
      <c r="C6" s="262"/>
      <c r="D6" s="155"/>
      <c r="E6" s="267" t="s">
        <v>182</v>
      </c>
      <c r="F6" s="125" t="s">
        <v>157</v>
      </c>
      <c r="G6" s="126" t="s">
        <v>157</v>
      </c>
      <c r="J6" s="262"/>
    </row>
    <row r="7" spans="2:10" ht="12" customHeight="1" x14ac:dyDescent="0.25">
      <c r="B7" s="262"/>
      <c r="C7" s="262"/>
      <c r="D7" s="155"/>
      <c r="E7" s="267" t="s">
        <v>91</v>
      </c>
      <c r="F7" s="125">
        <v>1</v>
      </c>
      <c r="G7" s="188">
        <f>F7</f>
        <v>1</v>
      </c>
      <c r="J7" s="262"/>
    </row>
    <row r="8" spans="2:10" ht="12" customHeight="1" x14ac:dyDescent="0.25">
      <c r="B8" s="262"/>
      <c r="C8" s="268"/>
      <c r="D8" s="155"/>
      <c r="E8" s="267" t="s">
        <v>123</v>
      </c>
      <c r="F8" s="125" t="s">
        <v>2</v>
      </c>
      <c r="G8" s="127" t="s">
        <v>2</v>
      </c>
      <c r="J8" s="262"/>
    </row>
    <row r="9" spans="2:10" ht="12" customHeight="1" x14ac:dyDescent="0.25">
      <c r="B9" s="262"/>
      <c r="C9" s="262"/>
      <c r="D9" s="155"/>
      <c r="E9" s="267" t="s">
        <v>164</v>
      </c>
      <c r="F9" s="128" t="s">
        <v>193</v>
      </c>
      <c r="G9" s="126" t="s">
        <v>134</v>
      </c>
      <c r="J9" s="262"/>
    </row>
    <row r="10" spans="2:10" ht="12" customHeight="1" x14ac:dyDescent="0.25">
      <c r="B10" s="262"/>
      <c r="C10" s="262"/>
      <c r="D10" s="155"/>
      <c r="E10" s="267" t="s">
        <v>155</v>
      </c>
      <c r="F10" s="128" t="s">
        <v>169</v>
      </c>
      <c r="G10" s="126" t="s">
        <v>167</v>
      </c>
      <c r="H10" s="155"/>
      <c r="J10" s="262"/>
    </row>
    <row r="11" spans="2:10" ht="17.100000000000001" customHeight="1" x14ac:dyDescent="0.25">
      <c r="B11" s="264" t="s">
        <v>121</v>
      </c>
      <c r="C11" s="262"/>
      <c r="D11" s="155"/>
      <c r="E11" s="279" t="s">
        <v>121</v>
      </c>
      <c r="F11" s="280"/>
      <c r="G11" s="280"/>
      <c r="J11" s="262"/>
    </row>
    <row r="12" spans="2:10" ht="12" customHeight="1" x14ac:dyDescent="0.25">
      <c r="B12" s="262"/>
      <c r="C12" s="262"/>
      <c r="D12" s="155"/>
      <c r="E12" s="267" t="s">
        <v>92</v>
      </c>
      <c r="F12" s="125" t="s">
        <v>186</v>
      </c>
      <c r="G12" s="126" t="s">
        <v>134</v>
      </c>
      <c r="J12" s="262"/>
    </row>
    <row r="13" spans="2:10" ht="12" customHeight="1" x14ac:dyDescent="0.25">
      <c r="B13" s="262"/>
      <c r="C13" s="262"/>
      <c r="D13" s="155"/>
      <c r="E13" s="267" t="s">
        <v>119</v>
      </c>
      <c r="F13" s="125">
        <v>0</v>
      </c>
      <c r="G13" s="126">
        <v>0</v>
      </c>
      <c r="J13" s="262"/>
    </row>
    <row r="14" spans="2:10" ht="12" customHeight="1" x14ac:dyDescent="0.25">
      <c r="B14" s="262"/>
      <c r="C14" s="262"/>
      <c r="D14" s="155"/>
      <c r="E14" s="267" t="s">
        <v>182</v>
      </c>
      <c r="F14" s="125" t="s">
        <v>4</v>
      </c>
      <c r="G14" s="126" t="s">
        <v>4</v>
      </c>
      <c r="J14" s="262"/>
    </row>
    <row r="15" spans="2:10" ht="12" customHeight="1" x14ac:dyDescent="0.25">
      <c r="B15" s="262"/>
      <c r="C15" s="262"/>
      <c r="D15" s="155"/>
      <c r="E15" s="267" t="s">
        <v>91</v>
      </c>
      <c r="F15" s="125">
        <v>0</v>
      </c>
      <c r="G15" s="188">
        <f>F15</f>
        <v>0</v>
      </c>
      <c r="J15" s="262"/>
    </row>
    <row r="16" spans="2:10" ht="12" customHeight="1" x14ac:dyDescent="0.25">
      <c r="B16" s="262"/>
      <c r="C16" s="262"/>
      <c r="D16" s="155"/>
      <c r="E16" s="267" t="s">
        <v>123</v>
      </c>
      <c r="F16" s="125" t="s">
        <v>4</v>
      </c>
      <c r="G16" s="127" t="s">
        <v>4</v>
      </c>
      <c r="J16" s="262"/>
    </row>
    <row r="17" spans="2:10" ht="12" customHeight="1" x14ac:dyDescent="0.25">
      <c r="B17" s="262"/>
      <c r="C17" s="268"/>
      <c r="D17" s="155"/>
      <c r="E17" s="267" t="s">
        <v>164</v>
      </c>
      <c r="F17" s="126" t="s">
        <v>134</v>
      </c>
      <c r="G17" s="126" t="s">
        <v>134</v>
      </c>
      <c r="J17" s="262"/>
    </row>
    <row r="18" spans="2:10" ht="12" customHeight="1" x14ac:dyDescent="0.25">
      <c r="B18" s="262"/>
      <c r="C18" s="262"/>
      <c r="D18" s="155"/>
      <c r="E18" s="267" t="s">
        <v>155</v>
      </c>
      <c r="F18" s="126" t="s">
        <v>134</v>
      </c>
      <c r="G18" s="126" t="s">
        <v>134</v>
      </c>
      <c r="H18" s="155"/>
      <c r="J18" s="262"/>
    </row>
    <row r="19" spans="2:10" ht="17.100000000000001" customHeight="1" x14ac:dyDescent="0.25">
      <c r="B19" s="264" t="s">
        <v>122</v>
      </c>
      <c r="C19" s="262"/>
      <c r="D19" s="155"/>
      <c r="E19" s="279" t="s">
        <v>122</v>
      </c>
      <c r="F19" s="280"/>
      <c r="G19" s="280"/>
      <c r="J19" s="262"/>
    </row>
    <row r="20" spans="2:10" ht="12" customHeight="1" x14ac:dyDescent="0.25">
      <c r="B20" s="262"/>
      <c r="C20" s="262"/>
      <c r="D20" s="155"/>
      <c r="E20" s="267" t="s">
        <v>92</v>
      </c>
      <c r="F20" s="125" t="s">
        <v>186</v>
      </c>
      <c r="G20" s="126" t="s">
        <v>134</v>
      </c>
      <c r="J20" s="262"/>
    </row>
    <row r="21" spans="2:10" ht="12" customHeight="1" x14ac:dyDescent="0.25">
      <c r="B21" s="262"/>
      <c r="C21" s="262"/>
      <c r="D21" s="155"/>
      <c r="E21" s="267" t="s">
        <v>119</v>
      </c>
      <c r="F21" s="125">
        <v>0</v>
      </c>
      <c r="G21" s="126">
        <v>0</v>
      </c>
      <c r="J21" s="262"/>
    </row>
    <row r="22" spans="2:10" ht="12" customHeight="1" x14ac:dyDescent="0.25">
      <c r="B22" s="262"/>
      <c r="C22" s="262"/>
      <c r="D22" s="155"/>
      <c r="E22" s="267" t="s">
        <v>182</v>
      </c>
      <c r="F22" s="125" t="s">
        <v>4</v>
      </c>
      <c r="G22" s="126" t="s">
        <v>4</v>
      </c>
      <c r="J22" s="262"/>
    </row>
    <row r="23" spans="2:10" ht="12" customHeight="1" x14ac:dyDescent="0.25">
      <c r="B23" s="262"/>
      <c r="C23" s="262"/>
      <c r="D23" s="155"/>
      <c r="E23" s="267" t="s">
        <v>91</v>
      </c>
      <c r="F23" s="125">
        <v>0</v>
      </c>
      <c r="G23" s="188">
        <f>F23</f>
        <v>0</v>
      </c>
      <c r="J23" s="262"/>
    </row>
    <row r="24" spans="2:10" ht="12" customHeight="1" x14ac:dyDescent="0.25">
      <c r="B24" s="262"/>
      <c r="C24" s="262"/>
      <c r="D24" s="155"/>
      <c r="E24" s="267" t="s">
        <v>123</v>
      </c>
      <c r="F24" s="125" t="s">
        <v>4</v>
      </c>
      <c r="G24" s="127" t="s">
        <v>4</v>
      </c>
      <c r="J24" s="262"/>
    </row>
    <row r="25" spans="2:10" ht="12" customHeight="1" x14ac:dyDescent="0.25">
      <c r="B25" s="262"/>
      <c r="C25" s="268"/>
      <c r="D25" s="155"/>
      <c r="E25" s="267" t="s">
        <v>164</v>
      </c>
      <c r="F25" s="126" t="s">
        <v>134</v>
      </c>
      <c r="G25" s="126" t="s">
        <v>134</v>
      </c>
      <c r="J25" s="262"/>
    </row>
    <row r="26" spans="2:10" ht="12" customHeight="1" x14ac:dyDescent="0.25">
      <c r="B26" s="262"/>
      <c r="C26" s="262"/>
      <c r="D26" s="155"/>
      <c r="E26" s="267" t="s">
        <v>155</v>
      </c>
      <c r="F26" s="126" t="s">
        <v>134</v>
      </c>
      <c r="G26" s="126" t="s">
        <v>134</v>
      </c>
      <c r="H26" s="155"/>
      <c r="J26" s="262"/>
    </row>
    <row r="27" spans="2:10" ht="17.100000000000001" customHeight="1" x14ac:dyDescent="0.25">
      <c r="B27" s="264" t="s">
        <v>125</v>
      </c>
      <c r="C27" s="262"/>
      <c r="D27" s="155"/>
      <c r="E27" s="279" t="s">
        <v>125</v>
      </c>
      <c r="F27" s="281"/>
      <c r="G27" s="282"/>
      <c r="J27" s="262"/>
    </row>
    <row r="28" spans="2:10" ht="12" customHeight="1" x14ac:dyDescent="0.25">
      <c r="B28" s="262"/>
      <c r="C28" s="262"/>
      <c r="D28" s="155"/>
      <c r="E28" s="267" t="s">
        <v>92</v>
      </c>
      <c r="F28" s="125" t="s">
        <v>186</v>
      </c>
      <c r="G28" s="126" t="s">
        <v>134</v>
      </c>
      <c r="J28" s="262"/>
    </row>
    <row r="29" spans="2:10" ht="12" customHeight="1" x14ac:dyDescent="0.25">
      <c r="B29" s="262"/>
      <c r="C29" s="262"/>
      <c r="D29" s="155"/>
      <c r="E29" s="267" t="s">
        <v>119</v>
      </c>
      <c r="F29" s="125">
        <v>0</v>
      </c>
      <c r="G29" s="126">
        <v>0</v>
      </c>
      <c r="J29" s="262"/>
    </row>
    <row r="30" spans="2:10" ht="12" customHeight="1" x14ac:dyDescent="0.25">
      <c r="B30" s="262"/>
      <c r="C30" s="262"/>
      <c r="D30" s="155"/>
      <c r="E30" s="267" t="s">
        <v>182</v>
      </c>
      <c r="F30" s="125" t="s">
        <v>4</v>
      </c>
      <c r="G30" s="126" t="s">
        <v>4</v>
      </c>
      <c r="J30" s="262"/>
    </row>
    <row r="31" spans="2:10" ht="12" customHeight="1" x14ac:dyDescent="0.25">
      <c r="B31" s="262"/>
      <c r="C31" s="262"/>
      <c r="D31" s="155"/>
      <c r="E31" s="267" t="s">
        <v>91</v>
      </c>
      <c r="F31" s="125">
        <v>0</v>
      </c>
      <c r="G31" s="188">
        <f>F31</f>
        <v>0</v>
      </c>
      <c r="J31" s="262"/>
    </row>
    <row r="32" spans="2:10" ht="12" customHeight="1" x14ac:dyDescent="0.25">
      <c r="B32" s="262"/>
      <c r="C32" s="262"/>
      <c r="D32" s="155"/>
      <c r="E32" s="267" t="s">
        <v>123</v>
      </c>
      <c r="F32" s="125" t="s">
        <v>4</v>
      </c>
      <c r="G32" s="127" t="s">
        <v>4</v>
      </c>
      <c r="J32" s="262"/>
    </row>
    <row r="33" spans="2:10" ht="12" customHeight="1" x14ac:dyDescent="0.25">
      <c r="B33" s="262"/>
      <c r="C33" s="268"/>
      <c r="D33" s="155"/>
      <c r="E33" s="267" t="s">
        <v>164</v>
      </c>
      <c r="F33" s="126" t="s">
        <v>134</v>
      </c>
      <c r="G33" s="126" t="s">
        <v>134</v>
      </c>
      <c r="J33" s="262"/>
    </row>
    <row r="34" spans="2:10" ht="12" customHeight="1" x14ac:dyDescent="0.25">
      <c r="B34" s="262"/>
      <c r="C34" s="262"/>
      <c r="D34" s="155"/>
      <c r="E34" s="267" t="s">
        <v>155</v>
      </c>
      <c r="F34" s="126" t="s">
        <v>134</v>
      </c>
      <c r="G34" s="126" t="s">
        <v>134</v>
      </c>
      <c r="H34" s="155"/>
      <c r="J34" s="262"/>
    </row>
    <row r="35" spans="2:10" ht="17.100000000000001" customHeight="1" x14ac:dyDescent="0.25">
      <c r="B35" s="264" t="s">
        <v>126</v>
      </c>
      <c r="C35" s="262"/>
      <c r="D35" s="155"/>
      <c r="E35" s="279" t="s">
        <v>126</v>
      </c>
      <c r="F35" s="281"/>
      <c r="G35" s="282"/>
      <c r="J35" s="262"/>
    </row>
    <row r="36" spans="2:10" ht="12" customHeight="1" x14ac:dyDescent="0.25">
      <c r="B36" s="262"/>
      <c r="C36" s="262"/>
      <c r="D36" s="155"/>
      <c r="E36" s="267" t="s">
        <v>92</v>
      </c>
      <c r="F36" s="125" t="s">
        <v>186</v>
      </c>
      <c r="G36" s="126" t="s">
        <v>134</v>
      </c>
      <c r="J36" s="262"/>
    </row>
    <row r="37" spans="2:10" ht="12" customHeight="1" x14ac:dyDescent="0.25">
      <c r="B37" s="262"/>
      <c r="C37" s="262"/>
      <c r="D37" s="155"/>
      <c r="E37" s="267" t="s">
        <v>119</v>
      </c>
      <c r="F37" s="125">
        <v>0</v>
      </c>
      <c r="G37" s="126">
        <v>0</v>
      </c>
      <c r="J37" s="262"/>
    </row>
    <row r="38" spans="2:10" ht="12" customHeight="1" x14ac:dyDescent="0.25">
      <c r="B38" s="262"/>
      <c r="C38" s="262"/>
      <c r="D38" s="155"/>
      <c r="E38" s="267" t="s">
        <v>182</v>
      </c>
      <c r="F38" s="125" t="s">
        <v>4</v>
      </c>
      <c r="G38" s="126" t="s">
        <v>4</v>
      </c>
      <c r="J38" s="262"/>
    </row>
    <row r="39" spans="2:10" ht="12" customHeight="1" x14ac:dyDescent="0.25">
      <c r="B39" s="262"/>
      <c r="C39" s="262"/>
      <c r="D39" s="155"/>
      <c r="E39" s="267" t="s">
        <v>91</v>
      </c>
      <c r="F39" s="125">
        <v>0</v>
      </c>
      <c r="G39" s="188">
        <f>F39</f>
        <v>0</v>
      </c>
      <c r="J39" s="262"/>
    </row>
    <row r="40" spans="2:10" ht="12" customHeight="1" x14ac:dyDescent="0.25">
      <c r="B40" s="262"/>
      <c r="C40" s="262"/>
      <c r="D40" s="155"/>
      <c r="E40" s="267" t="s">
        <v>123</v>
      </c>
      <c r="F40" s="125" t="s">
        <v>4</v>
      </c>
      <c r="G40" s="127" t="s">
        <v>4</v>
      </c>
      <c r="J40" s="262"/>
    </row>
    <row r="41" spans="2:10" ht="12" customHeight="1" x14ac:dyDescent="0.25">
      <c r="B41" s="262"/>
      <c r="C41" s="268"/>
      <c r="D41" s="155"/>
      <c r="E41" s="267" t="s">
        <v>164</v>
      </c>
      <c r="F41" s="126" t="s">
        <v>134</v>
      </c>
      <c r="G41" s="126" t="s">
        <v>134</v>
      </c>
      <c r="J41" s="262"/>
    </row>
    <row r="42" spans="2:10" ht="12" customHeight="1" x14ac:dyDescent="0.25">
      <c r="B42" s="262"/>
      <c r="C42" s="262"/>
      <c r="D42" s="155"/>
      <c r="E42" s="267" t="s">
        <v>155</v>
      </c>
      <c r="F42" s="126" t="s">
        <v>134</v>
      </c>
      <c r="G42" s="126" t="s">
        <v>134</v>
      </c>
      <c r="H42" s="155"/>
      <c r="J42" s="262"/>
    </row>
    <row r="44" spans="2:10" s="261" customFormat="1" x14ac:dyDescent="0.25">
      <c r="H44" s="359"/>
    </row>
    <row r="45" spans="2:10" s="261" customFormat="1" x14ac:dyDescent="0.25">
      <c r="H45" s="359"/>
    </row>
    <row r="46" spans="2:10" s="261" customFormat="1" x14ac:dyDescent="0.25">
      <c r="H46" s="359"/>
    </row>
    <row r="47" spans="2:10" s="261" customFormat="1" x14ac:dyDescent="0.25">
      <c r="H47" s="359"/>
    </row>
    <row r="48" spans="2:10" s="261" customFormat="1" x14ac:dyDescent="0.25">
      <c r="H48" s="359"/>
    </row>
    <row r="49" spans="8:8" s="261" customFormat="1" x14ac:dyDescent="0.25">
      <c r="H49" s="359"/>
    </row>
    <row r="50" spans="8:8" s="261" customFormat="1" x14ac:dyDescent="0.25">
      <c r="H50" s="359"/>
    </row>
    <row r="51" spans="8:8" s="261" customFormat="1" x14ac:dyDescent="0.25">
      <c r="H51" s="359"/>
    </row>
    <row r="52" spans="8:8" s="261" customFormat="1" x14ac:dyDescent="0.25">
      <c r="H52" s="359"/>
    </row>
    <row r="53" spans="8:8" s="261" customFormat="1" x14ac:dyDescent="0.25">
      <c r="H53" s="359"/>
    </row>
    <row r="54" spans="8:8" s="261" customFormat="1" x14ac:dyDescent="0.25">
      <c r="H54" s="359"/>
    </row>
    <row r="55" spans="8:8" s="261" customFormat="1" x14ac:dyDescent="0.25">
      <c r="H55" s="359"/>
    </row>
    <row r="56" spans="8:8" s="261" customFormat="1" x14ac:dyDescent="0.25">
      <c r="H56" s="359"/>
    </row>
    <row r="57" spans="8:8" s="261" customFormat="1" x14ac:dyDescent="0.25">
      <c r="H57" s="359"/>
    </row>
    <row r="58" spans="8:8" s="261" customFormat="1" x14ac:dyDescent="0.25">
      <c r="H58" s="359"/>
    </row>
    <row r="59" spans="8:8" s="261" customFormat="1" x14ac:dyDescent="0.25">
      <c r="H59" s="359"/>
    </row>
    <row r="60" spans="8:8" s="261" customFormat="1" x14ac:dyDescent="0.25">
      <c r="H60" s="359"/>
    </row>
    <row r="61" spans="8:8" s="261" customFormat="1" x14ac:dyDescent="0.25">
      <c r="H61" s="359"/>
    </row>
    <row r="62" spans="8:8" s="261" customFormat="1" x14ac:dyDescent="0.25">
      <c r="H62" s="359"/>
    </row>
    <row r="63" spans="8:8" s="261" customFormat="1" x14ac:dyDescent="0.25">
      <c r="H63" s="359"/>
    </row>
    <row r="64" spans="8:8" s="261" customFormat="1" x14ac:dyDescent="0.25">
      <c r="H64" s="359"/>
    </row>
    <row r="65" spans="8:8" s="261" customFormat="1" x14ac:dyDescent="0.25">
      <c r="H65" s="359"/>
    </row>
    <row r="66" spans="8:8" s="261" customFormat="1" x14ac:dyDescent="0.25">
      <c r="H66" s="359"/>
    </row>
    <row r="67" spans="8:8" s="261" customFormat="1" x14ac:dyDescent="0.25">
      <c r="H67" s="359"/>
    </row>
    <row r="68" spans="8:8" s="261" customFormat="1" x14ac:dyDescent="0.25">
      <c r="H68" s="359"/>
    </row>
    <row r="69" spans="8:8" s="261" customFormat="1" x14ac:dyDescent="0.25">
      <c r="H69" s="359"/>
    </row>
    <row r="70" spans="8:8" s="261" customFormat="1" x14ac:dyDescent="0.25">
      <c r="H70" s="359"/>
    </row>
    <row r="71" spans="8:8" s="261" customFormat="1" x14ac:dyDescent="0.25">
      <c r="H71" s="359"/>
    </row>
    <row r="72" spans="8:8" s="261" customFormat="1" x14ac:dyDescent="0.25">
      <c r="H72" s="359"/>
    </row>
    <row r="73" spans="8:8" s="261" customFormat="1" x14ac:dyDescent="0.25">
      <c r="H73" s="359"/>
    </row>
    <row r="74" spans="8:8" s="261" customFormat="1" x14ac:dyDescent="0.25">
      <c r="H74" s="359"/>
    </row>
    <row r="75" spans="8:8" s="261" customFormat="1" x14ac:dyDescent="0.25">
      <c r="H75" s="359"/>
    </row>
    <row r="76" spans="8:8" s="261" customFormat="1" x14ac:dyDescent="0.25">
      <c r="H76" s="359"/>
    </row>
    <row r="77" spans="8:8" s="261" customFormat="1" x14ac:dyDescent="0.25">
      <c r="H77" s="359"/>
    </row>
    <row r="78" spans="8:8" s="261" customFormat="1" x14ac:dyDescent="0.25">
      <c r="H78" s="359"/>
    </row>
    <row r="79" spans="8:8" s="261" customFormat="1" x14ac:dyDescent="0.25">
      <c r="H79" s="359"/>
    </row>
    <row r="80" spans="8:8" s="261" customFormat="1" x14ac:dyDescent="0.25">
      <c r="H80" s="359"/>
    </row>
    <row r="81" spans="8:8" s="261" customFormat="1" x14ac:dyDescent="0.25">
      <c r="H81" s="359"/>
    </row>
    <row r="82" spans="8:8" s="261" customFormat="1" x14ac:dyDescent="0.25">
      <c r="H82" s="359"/>
    </row>
    <row r="83" spans="8:8" s="261" customFormat="1" x14ac:dyDescent="0.25">
      <c r="H83" s="359"/>
    </row>
    <row r="84" spans="8:8" s="261" customFormat="1" x14ac:dyDescent="0.25">
      <c r="H84" s="359"/>
    </row>
    <row r="85" spans="8:8" s="261" customFormat="1" x14ac:dyDescent="0.25">
      <c r="H85" s="359"/>
    </row>
    <row r="86" spans="8:8" s="261" customFormat="1" x14ac:dyDescent="0.25">
      <c r="H86" s="359"/>
    </row>
    <row r="87" spans="8:8" s="261" customFormat="1" x14ac:dyDescent="0.25">
      <c r="H87" s="359"/>
    </row>
    <row r="88" spans="8:8" s="261" customFormat="1" x14ac:dyDescent="0.25">
      <c r="H88" s="359"/>
    </row>
    <row r="89" spans="8:8" s="261" customFormat="1" x14ac:dyDescent="0.25">
      <c r="H89" s="359"/>
    </row>
    <row r="90" spans="8:8" s="261" customFormat="1" x14ac:dyDescent="0.25">
      <c r="H90" s="359"/>
    </row>
    <row r="91" spans="8:8" s="261" customFormat="1" x14ac:dyDescent="0.25">
      <c r="H91" s="359"/>
    </row>
    <row r="92" spans="8:8" s="261" customFormat="1" x14ac:dyDescent="0.25">
      <c r="H92" s="359"/>
    </row>
    <row r="93" spans="8:8" s="261" customFormat="1" x14ac:dyDescent="0.25">
      <c r="H93" s="359"/>
    </row>
    <row r="94" spans="8:8" s="261" customFormat="1" x14ac:dyDescent="0.25">
      <c r="H94" s="359"/>
    </row>
    <row r="95" spans="8:8" s="261" customFormat="1" x14ac:dyDescent="0.25">
      <c r="H95" s="359"/>
    </row>
    <row r="96" spans="8:8" s="261" customFormat="1" x14ac:dyDescent="0.25">
      <c r="H96" s="359"/>
    </row>
    <row r="97" spans="8:8" s="261" customFormat="1" x14ac:dyDescent="0.25">
      <c r="H97" s="359"/>
    </row>
    <row r="98" spans="8:8" s="261" customFormat="1" x14ac:dyDescent="0.25">
      <c r="H98" s="359"/>
    </row>
    <row r="99" spans="8:8" s="261" customFormat="1" x14ac:dyDescent="0.25">
      <c r="H99" s="359"/>
    </row>
    <row r="100" spans="8:8" s="261" customFormat="1" x14ac:dyDescent="0.25">
      <c r="H100" s="359"/>
    </row>
    <row r="101" spans="8:8" s="261" customFormat="1" x14ac:dyDescent="0.25">
      <c r="H101" s="359"/>
    </row>
    <row r="102" spans="8:8" s="261" customFormat="1" x14ac:dyDescent="0.25">
      <c r="H102" s="359"/>
    </row>
    <row r="103" spans="8:8" s="261" customFormat="1" x14ac:dyDescent="0.25">
      <c r="H103" s="359"/>
    </row>
    <row r="104" spans="8:8" s="261" customFormat="1" x14ac:dyDescent="0.25">
      <c r="H104" s="359"/>
    </row>
    <row r="105" spans="8:8" s="261" customFormat="1" x14ac:dyDescent="0.25">
      <c r="H105" s="359"/>
    </row>
    <row r="106" spans="8:8" s="261" customFormat="1" x14ac:dyDescent="0.25">
      <c r="H106" s="359"/>
    </row>
    <row r="107" spans="8:8" s="261" customFormat="1" x14ac:dyDescent="0.25">
      <c r="H107" s="359"/>
    </row>
    <row r="108" spans="8:8" s="261" customFormat="1" x14ac:dyDescent="0.25">
      <c r="H108" s="359"/>
    </row>
    <row r="109" spans="8:8" s="261" customFormat="1" x14ac:dyDescent="0.25">
      <c r="H109" s="359"/>
    </row>
    <row r="110" spans="8:8" s="261" customFormat="1" x14ac:dyDescent="0.25">
      <c r="H110" s="359"/>
    </row>
    <row r="111" spans="8:8" s="261" customFormat="1" x14ac:dyDescent="0.25">
      <c r="H111" s="359"/>
    </row>
    <row r="112" spans="8:8" s="261" customFormat="1" x14ac:dyDescent="0.25">
      <c r="H112" s="359"/>
    </row>
    <row r="113" spans="8:8" s="261" customFormat="1" x14ac:dyDescent="0.25">
      <c r="H113" s="359"/>
    </row>
    <row r="114" spans="8:8" s="261" customFormat="1" x14ac:dyDescent="0.25">
      <c r="H114" s="359"/>
    </row>
    <row r="115" spans="8:8" s="261" customFormat="1" x14ac:dyDescent="0.25">
      <c r="H115" s="359"/>
    </row>
    <row r="116" spans="8:8" s="261" customFormat="1" x14ac:dyDescent="0.25">
      <c r="H116" s="359"/>
    </row>
    <row r="117" spans="8:8" s="261" customFormat="1" x14ac:dyDescent="0.25">
      <c r="H117" s="359"/>
    </row>
    <row r="118" spans="8:8" s="261" customFormat="1" x14ac:dyDescent="0.25">
      <c r="H118" s="359"/>
    </row>
    <row r="119" spans="8:8" s="261" customFormat="1" x14ac:dyDescent="0.25">
      <c r="H119" s="359"/>
    </row>
    <row r="120" spans="8:8" s="261" customFormat="1" x14ac:dyDescent="0.25">
      <c r="H120" s="359"/>
    </row>
    <row r="121" spans="8:8" s="261" customFormat="1" x14ac:dyDescent="0.25">
      <c r="H121" s="359"/>
    </row>
    <row r="122" spans="8:8" s="261" customFormat="1" x14ac:dyDescent="0.25">
      <c r="H122" s="359"/>
    </row>
    <row r="123" spans="8:8" s="261" customFormat="1" x14ac:dyDescent="0.25">
      <c r="H123" s="359"/>
    </row>
    <row r="124" spans="8:8" s="261" customFormat="1" x14ac:dyDescent="0.25">
      <c r="H124" s="359"/>
    </row>
    <row r="125" spans="8:8" s="261" customFormat="1" x14ac:dyDescent="0.25">
      <c r="H125" s="359"/>
    </row>
    <row r="126" spans="8:8" s="261" customFormat="1" x14ac:dyDescent="0.25">
      <c r="H126" s="359"/>
    </row>
    <row r="127" spans="8:8" s="261" customFormat="1" x14ac:dyDescent="0.25">
      <c r="H127" s="359"/>
    </row>
    <row r="128" spans="8:8" s="261" customFormat="1" x14ac:dyDescent="0.25">
      <c r="H128" s="359"/>
    </row>
    <row r="129" spans="8:8" s="261" customFormat="1" x14ac:dyDescent="0.25">
      <c r="H129" s="359"/>
    </row>
    <row r="130" spans="8:8" s="261" customFormat="1" x14ac:dyDescent="0.25">
      <c r="H130" s="359"/>
    </row>
    <row r="131" spans="8:8" s="261" customFormat="1" x14ac:dyDescent="0.25">
      <c r="H131" s="359"/>
    </row>
    <row r="132" spans="8:8" s="261" customFormat="1" x14ac:dyDescent="0.25">
      <c r="H132" s="359"/>
    </row>
    <row r="133" spans="8:8" s="261" customFormat="1" x14ac:dyDescent="0.25">
      <c r="H133" s="359"/>
    </row>
    <row r="134" spans="8:8" s="261" customFormat="1" x14ac:dyDescent="0.25">
      <c r="H134" s="359"/>
    </row>
    <row r="135" spans="8:8" s="261" customFormat="1" x14ac:dyDescent="0.25">
      <c r="H135" s="359"/>
    </row>
    <row r="136" spans="8:8" s="261" customFormat="1" x14ac:dyDescent="0.25">
      <c r="H136" s="359"/>
    </row>
    <row r="137" spans="8:8" s="261" customFormat="1" x14ac:dyDescent="0.25">
      <c r="H137" s="359"/>
    </row>
    <row r="138" spans="8:8" s="261" customFormat="1" x14ac:dyDescent="0.25">
      <c r="H138" s="359"/>
    </row>
    <row r="139" spans="8:8" s="261" customFormat="1" x14ac:dyDescent="0.25">
      <c r="H139" s="359"/>
    </row>
    <row r="140" spans="8:8" s="261" customFormat="1" x14ac:dyDescent="0.25">
      <c r="H140" s="359"/>
    </row>
    <row r="141" spans="8:8" s="261" customFormat="1" x14ac:dyDescent="0.25">
      <c r="H141" s="359"/>
    </row>
    <row r="142" spans="8:8" s="261" customFormat="1" x14ac:dyDescent="0.25">
      <c r="H142" s="359"/>
    </row>
    <row r="143" spans="8:8" s="261" customFormat="1" x14ac:dyDescent="0.25">
      <c r="H143" s="359"/>
    </row>
    <row r="144" spans="8:8" s="261" customFormat="1" x14ac:dyDescent="0.25">
      <c r="H144" s="359"/>
    </row>
    <row r="145" spans="8:8" s="261" customFormat="1" x14ac:dyDescent="0.25">
      <c r="H145" s="359"/>
    </row>
    <row r="146" spans="8:8" s="261" customFormat="1" x14ac:dyDescent="0.25">
      <c r="H146" s="359"/>
    </row>
    <row r="147" spans="8:8" s="261" customFormat="1" x14ac:dyDescent="0.25">
      <c r="H147" s="359"/>
    </row>
    <row r="148" spans="8:8" s="261" customFormat="1" x14ac:dyDescent="0.25">
      <c r="H148" s="359"/>
    </row>
    <row r="149" spans="8:8" s="261" customFormat="1" x14ac:dyDescent="0.25">
      <c r="H149" s="359"/>
    </row>
    <row r="150" spans="8:8" s="261" customFormat="1" x14ac:dyDescent="0.25">
      <c r="H150" s="359"/>
    </row>
    <row r="151" spans="8:8" s="261" customFormat="1" x14ac:dyDescent="0.25">
      <c r="H151" s="359"/>
    </row>
    <row r="152" spans="8:8" s="261" customFormat="1" x14ac:dyDescent="0.25">
      <c r="H152" s="359"/>
    </row>
    <row r="153" spans="8:8" s="261" customFormat="1" x14ac:dyDescent="0.25">
      <c r="H153" s="359"/>
    </row>
    <row r="154" spans="8:8" s="261" customFormat="1" x14ac:dyDescent="0.25">
      <c r="H154" s="359"/>
    </row>
    <row r="155" spans="8:8" s="261" customFormat="1" x14ac:dyDescent="0.25">
      <c r="H155" s="359"/>
    </row>
    <row r="156" spans="8:8" s="261" customFormat="1" x14ac:dyDescent="0.25">
      <c r="H156" s="359"/>
    </row>
    <row r="157" spans="8:8" s="261" customFormat="1" x14ac:dyDescent="0.25">
      <c r="H157" s="359"/>
    </row>
    <row r="158" spans="8:8" s="261" customFormat="1" x14ac:dyDescent="0.25">
      <c r="H158" s="359"/>
    </row>
    <row r="159" spans="8:8" s="261" customFormat="1" x14ac:dyDescent="0.25">
      <c r="H159" s="359"/>
    </row>
    <row r="160" spans="8:8" s="261" customFormat="1" x14ac:dyDescent="0.25">
      <c r="H160" s="359"/>
    </row>
    <row r="161" spans="8:8" s="261" customFormat="1" x14ac:dyDescent="0.25">
      <c r="H161" s="359"/>
    </row>
    <row r="162" spans="8:8" s="261" customFormat="1" x14ac:dyDescent="0.25">
      <c r="H162" s="359"/>
    </row>
    <row r="163" spans="8:8" s="261" customFormat="1" x14ac:dyDescent="0.25">
      <c r="H163" s="359"/>
    </row>
    <row r="164" spans="8:8" s="261" customFormat="1" x14ac:dyDescent="0.25">
      <c r="H164" s="359"/>
    </row>
    <row r="165" spans="8:8" s="261" customFormat="1" x14ac:dyDescent="0.25">
      <c r="H165" s="359"/>
    </row>
    <row r="166" spans="8:8" s="261" customFormat="1" x14ac:dyDescent="0.25">
      <c r="H166" s="359"/>
    </row>
    <row r="167" spans="8:8" s="261" customFormat="1" x14ac:dyDescent="0.25">
      <c r="H167" s="359"/>
    </row>
    <row r="168" spans="8:8" s="261" customFormat="1" x14ac:dyDescent="0.25">
      <c r="H168" s="359"/>
    </row>
    <row r="169" spans="8:8" s="261" customFormat="1" x14ac:dyDescent="0.25">
      <c r="H169" s="359"/>
    </row>
    <row r="170" spans="8:8" s="261" customFormat="1" x14ac:dyDescent="0.25">
      <c r="H170" s="359"/>
    </row>
    <row r="171" spans="8:8" s="261" customFormat="1" x14ac:dyDescent="0.25">
      <c r="H171" s="359"/>
    </row>
    <row r="172" spans="8:8" s="261" customFormat="1" x14ac:dyDescent="0.25">
      <c r="H172" s="359"/>
    </row>
    <row r="173" spans="8:8" s="261" customFormat="1" x14ac:dyDescent="0.25">
      <c r="H173" s="359"/>
    </row>
    <row r="174" spans="8:8" s="261" customFormat="1" x14ac:dyDescent="0.25">
      <c r="H174" s="359"/>
    </row>
    <row r="175" spans="8:8" s="261" customFormat="1" x14ac:dyDescent="0.25">
      <c r="H175" s="359"/>
    </row>
    <row r="176" spans="8:8" s="261" customFormat="1" x14ac:dyDescent="0.25">
      <c r="H176" s="359"/>
    </row>
    <row r="177" spans="8:8" s="261" customFormat="1" x14ac:dyDescent="0.25">
      <c r="H177" s="359"/>
    </row>
    <row r="178" spans="8:8" s="261" customFormat="1" x14ac:dyDescent="0.25">
      <c r="H178" s="359"/>
    </row>
    <row r="179" spans="8:8" s="261" customFormat="1" x14ac:dyDescent="0.25">
      <c r="H179" s="359"/>
    </row>
    <row r="180" spans="8:8" s="261" customFormat="1" x14ac:dyDescent="0.25">
      <c r="H180" s="359"/>
    </row>
    <row r="181" spans="8:8" s="261" customFormat="1" x14ac:dyDescent="0.25">
      <c r="H181" s="359"/>
    </row>
    <row r="182" spans="8:8" s="261" customFormat="1" x14ac:dyDescent="0.25">
      <c r="H182" s="359"/>
    </row>
    <row r="183" spans="8:8" s="261" customFormat="1" x14ac:dyDescent="0.25">
      <c r="H183" s="359"/>
    </row>
    <row r="184" spans="8:8" s="261" customFormat="1" x14ac:dyDescent="0.25">
      <c r="H184" s="359"/>
    </row>
    <row r="185" spans="8:8" s="261" customFormat="1" x14ac:dyDescent="0.25">
      <c r="H185" s="359"/>
    </row>
    <row r="186" spans="8:8" s="261" customFormat="1" x14ac:dyDescent="0.25">
      <c r="H186" s="359"/>
    </row>
    <row r="187" spans="8:8" s="261" customFormat="1" x14ac:dyDescent="0.25">
      <c r="H187" s="359"/>
    </row>
    <row r="188" spans="8:8" s="261" customFormat="1" x14ac:dyDescent="0.25">
      <c r="H188" s="359"/>
    </row>
    <row r="189" spans="8:8" s="261" customFormat="1" x14ac:dyDescent="0.25">
      <c r="H189" s="359"/>
    </row>
    <row r="190" spans="8:8" s="261" customFormat="1" x14ac:dyDescent="0.25">
      <c r="H190" s="359"/>
    </row>
    <row r="191" spans="8:8" s="261" customFormat="1" x14ac:dyDescent="0.25">
      <c r="H191" s="359"/>
    </row>
    <row r="192" spans="8:8" s="261" customFormat="1" x14ac:dyDescent="0.25">
      <c r="H192" s="359"/>
    </row>
    <row r="193" spans="8:8" s="261" customFormat="1" x14ac:dyDescent="0.25">
      <c r="H193" s="359"/>
    </row>
    <row r="194" spans="8:8" s="261" customFormat="1" x14ac:dyDescent="0.25">
      <c r="H194" s="359"/>
    </row>
    <row r="195" spans="8:8" s="261" customFormat="1" x14ac:dyDescent="0.25">
      <c r="H195" s="359"/>
    </row>
    <row r="196" spans="8:8" s="261" customFormat="1" x14ac:dyDescent="0.25">
      <c r="H196" s="359"/>
    </row>
    <row r="197" spans="8:8" s="261" customFormat="1" x14ac:dyDescent="0.25">
      <c r="H197" s="359"/>
    </row>
    <row r="198" spans="8:8" s="261" customFormat="1" x14ac:dyDescent="0.25">
      <c r="H198" s="359"/>
    </row>
    <row r="199" spans="8:8" s="261" customFormat="1" x14ac:dyDescent="0.25">
      <c r="H199" s="359"/>
    </row>
    <row r="200" spans="8:8" s="261" customFormat="1" x14ac:dyDescent="0.25">
      <c r="H200" s="359"/>
    </row>
    <row r="201" spans="8:8" s="261" customFormat="1" x14ac:dyDescent="0.25">
      <c r="H201" s="359"/>
    </row>
    <row r="202" spans="8:8" s="261" customFormat="1" x14ac:dyDescent="0.25">
      <c r="H202" s="359"/>
    </row>
    <row r="203" spans="8:8" s="261" customFormat="1" x14ac:dyDescent="0.25">
      <c r="H203" s="359"/>
    </row>
    <row r="204" spans="8:8" s="261" customFormat="1" x14ac:dyDescent="0.25">
      <c r="H204" s="359"/>
    </row>
    <row r="205" spans="8:8" s="261" customFormat="1" x14ac:dyDescent="0.25">
      <c r="H205" s="359"/>
    </row>
    <row r="206" spans="8:8" s="261" customFormat="1" x14ac:dyDescent="0.25">
      <c r="H206" s="359"/>
    </row>
    <row r="207" spans="8:8" s="261" customFormat="1" x14ac:dyDescent="0.25">
      <c r="H207" s="359"/>
    </row>
    <row r="208" spans="8:8" s="261" customFormat="1" x14ac:dyDescent="0.25">
      <c r="H208" s="359"/>
    </row>
    <row r="209" spans="8:8" s="261" customFormat="1" x14ac:dyDescent="0.25">
      <c r="H209" s="359"/>
    </row>
    <row r="210" spans="8:8" s="261" customFormat="1" x14ac:dyDescent="0.25">
      <c r="H210" s="359"/>
    </row>
    <row r="211" spans="8:8" s="261" customFormat="1" x14ac:dyDescent="0.25">
      <c r="H211" s="359"/>
    </row>
    <row r="212" spans="8:8" s="261" customFormat="1" x14ac:dyDescent="0.25">
      <c r="H212" s="359"/>
    </row>
    <row r="213" spans="8:8" s="261" customFormat="1" x14ac:dyDescent="0.25">
      <c r="H213" s="359"/>
    </row>
    <row r="214" spans="8:8" s="261" customFormat="1" x14ac:dyDescent="0.25">
      <c r="H214" s="359"/>
    </row>
    <row r="215" spans="8:8" s="261" customFormat="1" x14ac:dyDescent="0.25">
      <c r="H215" s="359"/>
    </row>
    <row r="216" spans="8:8" s="261" customFormat="1" x14ac:dyDescent="0.25">
      <c r="H216" s="359"/>
    </row>
    <row r="217" spans="8:8" s="261" customFormat="1" x14ac:dyDescent="0.25">
      <c r="H217" s="359"/>
    </row>
    <row r="218" spans="8:8" s="261" customFormat="1" x14ac:dyDescent="0.25">
      <c r="H218" s="359"/>
    </row>
    <row r="219" spans="8:8" s="261" customFormat="1" x14ac:dyDescent="0.25">
      <c r="H219" s="359"/>
    </row>
    <row r="220" spans="8:8" s="261" customFormat="1" x14ac:dyDescent="0.25">
      <c r="H220" s="359"/>
    </row>
    <row r="221" spans="8:8" s="261" customFormat="1" x14ac:dyDescent="0.25">
      <c r="H221" s="359"/>
    </row>
    <row r="222" spans="8:8" s="261" customFormat="1" x14ac:dyDescent="0.25">
      <c r="H222" s="359"/>
    </row>
    <row r="223" spans="8:8" s="261" customFormat="1" x14ac:dyDescent="0.25">
      <c r="H223" s="359"/>
    </row>
    <row r="224" spans="8:8" s="261" customFormat="1" x14ac:dyDescent="0.25">
      <c r="H224" s="359"/>
    </row>
    <row r="225" spans="8:8" s="261" customFormat="1" x14ac:dyDescent="0.25">
      <c r="H225" s="359"/>
    </row>
    <row r="226" spans="8:8" s="261" customFormat="1" x14ac:dyDescent="0.25">
      <c r="H226" s="359"/>
    </row>
    <row r="227" spans="8:8" s="261" customFormat="1" x14ac:dyDescent="0.25">
      <c r="H227" s="359"/>
    </row>
    <row r="228" spans="8:8" s="261" customFormat="1" x14ac:dyDescent="0.25">
      <c r="H228" s="359"/>
    </row>
    <row r="229" spans="8:8" s="261" customFormat="1" x14ac:dyDescent="0.25">
      <c r="H229" s="359"/>
    </row>
    <row r="230" spans="8:8" s="261" customFormat="1" x14ac:dyDescent="0.25">
      <c r="H230" s="359"/>
    </row>
    <row r="231" spans="8:8" s="261" customFormat="1" x14ac:dyDescent="0.25">
      <c r="H231" s="359"/>
    </row>
    <row r="232" spans="8:8" s="261" customFormat="1" x14ac:dyDescent="0.25">
      <c r="H232" s="359"/>
    </row>
    <row r="233" spans="8:8" s="261" customFormat="1" x14ac:dyDescent="0.25">
      <c r="H233" s="359"/>
    </row>
    <row r="234" spans="8:8" s="261" customFormat="1" x14ac:dyDescent="0.25">
      <c r="H234" s="359"/>
    </row>
    <row r="235" spans="8:8" s="261" customFormat="1" x14ac:dyDescent="0.25">
      <c r="H235" s="359"/>
    </row>
    <row r="236" spans="8:8" s="261" customFormat="1" x14ac:dyDescent="0.25">
      <c r="H236" s="359"/>
    </row>
    <row r="237" spans="8:8" s="261" customFormat="1" x14ac:dyDescent="0.25">
      <c r="H237" s="359"/>
    </row>
    <row r="238" spans="8:8" s="261" customFormat="1" x14ac:dyDescent="0.25">
      <c r="H238" s="359"/>
    </row>
    <row r="239" spans="8:8" s="261" customFormat="1" x14ac:dyDescent="0.25">
      <c r="H239" s="359"/>
    </row>
    <row r="240" spans="8:8" s="261" customFormat="1" x14ac:dyDescent="0.25">
      <c r="H240" s="359"/>
    </row>
    <row r="241" spans="8:8" s="261" customFormat="1" x14ac:dyDescent="0.25">
      <c r="H241" s="359"/>
    </row>
    <row r="242" spans="8:8" s="261" customFormat="1" x14ac:dyDescent="0.25">
      <c r="H242" s="359"/>
    </row>
    <row r="243" spans="8:8" s="261" customFormat="1" x14ac:dyDescent="0.25">
      <c r="H243" s="359"/>
    </row>
    <row r="244" spans="8:8" s="261" customFormat="1" x14ac:dyDescent="0.25">
      <c r="H244" s="359"/>
    </row>
    <row r="245" spans="8:8" s="261" customFormat="1" x14ac:dyDescent="0.25">
      <c r="H245" s="359"/>
    </row>
    <row r="246" spans="8:8" s="261" customFormat="1" x14ac:dyDescent="0.25">
      <c r="H246" s="359"/>
    </row>
    <row r="247" spans="8:8" s="261" customFormat="1" x14ac:dyDescent="0.25">
      <c r="H247" s="359"/>
    </row>
    <row r="248" spans="8:8" s="261" customFormat="1" x14ac:dyDescent="0.25">
      <c r="H248" s="359"/>
    </row>
    <row r="249" spans="8:8" s="261" customFormat="1" x14ac:dyDescent="0.25">
      <c r="H249" s="359"/>
    </row>
    <row r="250" spans="8:8" s="261" customFormat="1" x14ac:dyDescent="0.25">
      <c r="H250" s="359"/>
    </row>
    <row r="251" spans="8:8" s="261" customFormat="1" x14ac:dyDescent="0.25">
      <c r="H251" s="359"/>
    </row>
    <row r="252" spans="8:8" s="261" customFormat="1" x14ac:dyDescent="0.25">
      <c r="H252" s="359"/>
    </row>
    <row r="253" spans="8:8" s="261" customFormat="1" x14ac:dyDescent="0.25">
      <c r="H253" s="359"/>
    </row>
    <row r="254" spans="8:8" s="261" customFormat="1" x14ac:dyDescent="0.25">
      <c r="H254" s="359"/>
    </row>
    <row r="255" spans="8:8" s="261" customFormat="1" x14ac:dyDescent="0.25">
      <c r="H255" s="359"/>
    </row>
    <row r="256" spans="8:8" s="261" customFormat="1" x14ac:dyDescent="0.25">
      <c r="H256" s="359"/>
    </row>
    <row r="257" spans="8:8" s="261" customFormat="1" x14ac:dyDescent="0.25">
      <c r="H257" s="359"/>
    </row>
    <row r="258" spans="8:8" s="261" customFormat="1" x14ac:dyDescent="0.25">
      <c r="H258" s="359"/>
    </row>
    <row r="259" spans="8:8" s="261" customFormat="1" x14ac:dyDescent="0.25">
      <c r="H259" s="359"/>
    </row>
    <row r="260" spans="8:8" s="261" customFormat="1" x14ac:dyDescent="0.25">
      <c r="H260" s="359"/>
    </row>
    <row r="261" spans="8:8" s="261" customFormat="1" x14ac:dyDescent="0.25">
      <c r="H261" s="359"/>
    </row>
    <row r="262" spans="8:8" s="261" customFormat="1" x14ac:dyDescent="0.25">
      <c r="H262" s="359"/>
    </row>
    <row r="263" spans="8:8" s="261" customFormat="1" x14ac:dyDescent="0.25">
      <c r="H263" s="359"/>
    </row>
    <row r="264" spans="8:8" s="261" customFormat="1" x14ac:dyDescent="0.25">
      <c r="H264" s="359"/>
    </row>
    <row r="265" spans="8:8" s="261" customFormat="1" x14ac:dyDescent="0.25">
      <c r="H265" s="359"/>
    </row>
    <row r="266" spans="8:8" s="261" customFormat="1" x14ac:dyDescent="0.25">
      <c r="H266" s="359"/>
    </row>
    <row r="267" spans="8:8" s="261" customFormat="1" x14ac:dyDescent="0.25">
      <c r="H267" s="359"/>
    </row>
    <row r="268" spans="8:8" s="261" customFormat="1" x14ac:dyDescent="0.25">
      <c r="H268" s="359"/>
    </row>
    <row r="269" spans="8:8" s="261" customFormat="1" x14ac:dyDescent="0.25">
      <c r="H269" s="359"/>
    </row>
    <row r="270" spans="8:8" s="261" customFormat="1" x14ac:dyDescent="0.25">
      <c r="H270" s="359"/>
    </row>
    <row r="271" spans="8:8" s="261" customFormat="1" x14ac:dyDescent="0.25">
      <c r="H271" s="359"/>
    </row>
    <row r="272" spans="8:8" s="261" customFormat="1" x14ac:dyDescent="0.25">
      <c r="H272" s="359"/>
    </row>
    <row r="273" spans="8:8" s="261" customFormat="1" x14ac:dyDescent="0.25">
      <c r="H273" s="359"/>
    </row>
    <row r="274" spans="8:8" s="261" customFormat="1" x14ac:dyDescent="0.25">
      <c r="H274" s="359"/>
    </row>
    <row r="275" spans="8:8" s="261" customFormat="1" x14ac:dyDescent="0.25">
      <c r="H275" s="359"/>
    </row>
    <row r="276" spans="8:8" s="261" customFormat="1" x14ac:dyDescent="0.25">
      <c r="H276" s="359"/>
    </row>
    <row r="277" spans="8:8" s="261" customFormat="1" x14ac:dyDescent="0.25">
      <c r="H277" s="359"/>
    </row>
    <row r="278" spans="8:8" s="261" customFormat="1" x14ac:dyDescent="0.25">
      <c r="H278" s="359"/>
    </row>
    <row r="279" spans="8:8" s="261" customFormat="1" x14ac:dyDescent="0.25">
      <c r="H279" s="359"/>
    </row>
    <row r="280" spans="8:8" s="261" customFormat="1" x14ac:dyDescent="0.25">
      <c r="H280" s="359"/>
    </row>
    <row r="281" spans="8:8" s="261" customFormat="1" x14ac:dyDescent="0.25">
      <c r="H281" s="359"/>
    </row>
    <row r="282" spans="8:8" s="261" customFormat="1" x14ac:dyDescent="0.25">
      <c r="H282" s="359"/>
    </row>
    <row r="283" spans="8:8" s="261" customFormat="1" x14ac:dyDescent="0.25">
      <c r="H283" s="359"/>
    </row>
    <row r="284" spans="8:8" s="261" customFormat="1" x14ac:dyDescent="0.25">
      <c r="H284" s="359"/>
    </row>
    <row r="285" spans="8:8" s="261" customFormat="1" x14ac:dyDescent="0.25">
      <c r="H285" s="359"/>
    </row>
    <row r="286" spans="8:8" s="261" customFormat="1" x14ac:dyDescent="0.25">
      <c r="H286" s="359"/>
    </row>
    <row r="287" spans="8:8" s="261" customFormat="1" x14ac:dyDescent="0.25">
      <c r="H287" s="359"/>
    </row>
    <row r="288" spans="8:8" s="261" customFormat="1" x14ac:dyDescent="0.25">
      <c r="H288" s="359"/>
    </row>
    <row r="289" spans="8:8" s="261" customFormat="1" x14ac:dyDescent="0.25">
      <c r="H289" s="359"/>
    </row>
    <row r="290" spans="8:8" s="261" customFormat="1" x14ac:dyDescent="0.25">
      <c r="H290" s="359"/>
    </row>
    <row r="291" spans="8:8" s="261" customFormat="1" x14ac:dyDescent="0.25">
      <c r="H291" s="359"/>
    </row>
    <row r="292" spans="8:8" s="261" customFormat="1" x14ac:dyDescent="0.25">
      <c r="H292" s="359"/>
    </row>
    <row r="293" spans="8:8" s="261" customFormat="1" x14ac:dyDescent="0.25">
      <c r="H293" s="359"/>
    </row>
    <row r="294" spans="8:8" s="261" customFormat="1" x14ac:dyDescent="0.25">
      <c r="H294" s="359"/>
    </row>
    <row r="295" spans="8:8" s="261" customFormat="1" x14ac:dyDescent="0.25">
      <c r="H295" s="359"/>
    </row>
    <row r="296" spans="8:8" s="261" customFormat="1" x14ac:dyDescent="0.25">
      <c r="H296" s="359"/>
    </row>
    <row r="297" spans="8:8" s="261" customFormat="1" x14ac:dyDescent="0.25">
      <c r="H297" s="359"/>
    </row>
    <row r="298" spans="8:8" s="261" customFormat="1" x14ac:dyDescent="0.25">
      <c r="H298" s="359"/>
    </row>
    <row r="299" spans="8:8" s="261" customFormat="1" x14ac:dyDescent="0.25">
      <c r="H299" s="359"/>
    </row>
    <row r="300" spans="8:8" s="261" customFormat="1" x14ac:dyDescent="0.25">
      <c r="H300" s="359"/>
    </row>
    <row r="301" spans="8:8" s="261" customFormat="1" x14ac:dyDescent="0.25">
      <c r="H301" s="359"/>
    </row>
    <row r="302" spans="8:8" s="261" customFormat="1" x14ac:dyDescent="0.25">
      <c r="H302" s="359"/>
    </row>
    <row r="303" spans="8:8" s="261" customFormat="1" x14ac:dyDescent="0.25">
      <c r="H303" s="359"/>
    </row>
    <row r="304" spans="8:8" s="261" customFormat="1" x14ac:dyDescent="0.25">
      <c r="H304" s="359"/>
    </row>
    <row r="305" spans="8:8" s="261" customFormat="1" x14ac:dyDescent="0.25">
      <c r="H305" s="359"/>
    </row>
    <row r="306" spans="8:8" s="261" customFormat="1" x14ac:dyDescent="0.25">
      <c r="H306" s="359"/>
    </row>
    <row r="307" spans="8:8" s="261" customFormat="1" x14ac:dyDescent="0.25">
      <c r="H307" s="359"/>
    </row>
    <row r="308" spans="8:8" s="261" customFormat="1" x14ac:dyDescent="0.25">
      <c r="H308" s="359"/>
    </row>
    <row r="309" spans="8:8" s="261" customFormat="1" x14ac:dyDescent="0.25">
      <c r="H309" s="359"/>
    </row>
    <row r="310" spans="8:8" s="261" customFormat="1" x14ac:dyDescent="0.25">
      <c r="H310" s="359"/>
    </row>
    <row r="311" spans="8:8" s="261" customFormat="1" x14ac:dyDescent="0.25">
      <c r="H311" s="359"/>
    </row>
    <row r="312" spans="8:8" s="261" customFormat="1" x14ac:dyDescent="0.25">
      <c r="H312" s="359"/>
    </row>
    <row r="313" spans="8:8" s="261" customFormat="1" x14ac:dyDescent="0.25">
      <c r="H313" s="359"/>
    </row>
    <row r="314" spans="8:8" s="261" customFormat="1" x14ac:dyDescent="0.25">
      <c r="H314" s="359"/>
    </row>
    <row r="315" spans="8:8" s="261" customFormat="1" x14ac:dyDescent="0.25">
      <c r="H315" s="359"/>
    </row>
    <row r="316" spans="8:8" s="261" customFormat="1" x14ac:dyDescent="0.25">
      <c r="H316" s="359"/>
    </row>
    <row r="317" spans="8:8" s="261" customFormat="1" x14ac:dyDescent="0.25">
      <c r="H317" s="359"/>
    </row>
    <row r="318" spans="8:8" s="261" customFormat="1" x14ac:dyDescent="0.25">
      <c r="H318" s="359"/>
    </row>
    <row r="319" spans="8:8" s="261" customFormat="1" x14ac:dyDescent="0.25">
      <c r="H319" s="359"/>
    </row>
    <row r="320" spans="8:8" s="261" customFormat="1" x14ac:dyDescent="0.25">
      <c r="H320" s="359"/>
    </row>
    <row r="321" spans="8:8" s="261" customFormat="1" x14ac:dyDescent="0.25">
      <c r="H321" s="359"/>
    </row>
    <row r="322" spans="8:8" s="261" customFormat="1" x14ac:dyDescent="0.25">
      <c r="H322" s="359"/>
    </row>
    <row r="323" spans="8:8" s="261" customFormat="1" x14ac:dyDescent="0.25">
      <c r="H323" s="359"/>
    </row>
    <row r="324" spans="8:8" s="261" customFormat="1" x14ac:dyDescent="0.25">
      <c r="H324" s="359"/>
    </row>
    <row r="325" spans="8:8" s="261" customFormat="1" x14ac:dyDescent="0.25">
      <c r="H325" s="359"/>
    </row>
    <row r="326" spans="8:8" s="261" customFormat="1" x14ac:dyDescent="0.25">
      <c r="H326" s="359"/>
    </row>
    <row r="327" spans="8:8" s="261" customFormat="1" x14ac:dyDescent="0.25">
      <c r="H327" s="359"/>
    </row>
    <row r="328" spans="8:8" s="261" customFormat="1" x14ac:dyDescent="0.25">
      <c r="H328" s="359"/>
    </row>
    <row r="329" spans="8:8" s="261" customFormat="1" x14ac:dyDescent="0.25">
      <c r="H329" s="359"/>
    </row>
    <row r="330" spans="8:8" s="261" customFormat="1" x14ac:dyDescent="0.25">
      <c r="H330" s="359"/>
    </row>
    <row r="331" spans="8:8" s="261" customFormat="1" x14ac:dyDescent="0.25">
      <c r="H331" s="359"/>
    </row>
    <row r="332" spans="8:8" s="261" customFormat="1" x14ac:dyDescent="0.25">
      <c r="H332" s="359"/>
    </row>
    <row r="333" spans="8:8" s="261" customFormat="1" x14ac:dyDescent="0.25">
      <c r="H333" s="359"/>
    </row>
    <row r="334" spans="8:8" s="261" customFormat="1" x14ac:dyDescent="0.25">
      <c r="H334" s="359"/>
    </row>
    <row r="335" spans="8:8" s="261" customFormat="1" x14ac:dyDescent="0.25">
      <c r="H335" s="359"/>
    </row>
    <row r="336" spans="8:8" s="261" customFormat="1" x14ac:dyDescent="0.25">
      <c r="H336" s="359"/>
    </row>
    <row r="337" spans="8:8" s="261" customFormat="1" x14ac:dyDescent="0.25">
      <c r="H337" s="359"/>
    </row>
    <row r="338" spans="8:8" s="261" customFormat="1" x14ac:dyDescent="0.25">
      <c r="H338" s="359"/>
    </row>
    <row r="339" spans="8:8" s="261" customFormat="1" x14ac:dyDescent="0.25">
      <c r="H339" s="359"/>
    </row>
    <row r="340" spans="8:8" s="261" customFormat="1" x14ac:dyDescent="0.25">
      <c r="H340" s="359"/>
    </row>
    <row r="341" spans="8:8" s="261" customFormat="1" x14ac:dyDescent="0.25">
      <c r="H341" s="359"/>
    </row>
    <row r="342" spans="8:8" s="261" customFormat="1" x14ac:dyDescent="0.25">
      <c r="H342" s="359"/>
    </row>
    <row r="343" spans="8:8" s="261" customFormat="1" x14ac:dyDescent="0.25">
      <c r="H343" s="359"/>
    </row>
    <row r="344" spans="8:8" s="261" customFormat="1" x14ac:dyDescent="0.25">
      <c r="H344" s="359"/>
    </row>
    <row r="345" spans="8:8" s="261" customFormat="1" x14ac:dyDescent="0.25">
      <c r="H345" s="359"/>
    </row>
    <row r="346" spans="8:8" s="261" customFormat="1" x14ac:dyDescent="0.25">
      <c r="H346" s="359"/>
    </row>
    <row r="347" spans="8:8" s="261" customFormat="1" x14ac:dyDescent="0.25">
      <c r="H347" s="359"/>
    </row>
    <row r="348" spans="8:8" s="261" customFormat="1" x14ac:dyDescent="0.25">
      <c r="H348" s="359"/>
    </row>
    <row r="349" spans="8:8" s="261" customFormat="1" x14ac:dyDescent="0.25">
      <c r="H349" s="359"/>
    </row>
    <row r="350" spans="8:8" s="261" customFormat="1" x14ac:dyDescent="0.25">
      <c r="H350" s="359"/>
    </row>
    <row r="351" spans="8:8" s="261" customFormat="1" x14ac:dyDescent="0.25">
      <c r="H351" s="359"/>
    </row>
    <row r="352" spans="8:8" s="261" customFormat="1" x14ac:dyDescent="0.25">
      <c r="H352" s="359"/>
    </row>
    <row r="353" spans="8:8" s="261" customFormat="1" x14ac:dyDescent="0.25">
      <c r="H353" s="359"/>
    </row>
    <row r="354" spans="8:8" s="261" customFormat="1" x14ac:dyDescent="0.25">
      <c r="H354" s="359"/>
    </row>
    <row r="355" spans="8:8" s="261" customFormat="1" x14ac:dyDescent="0.25">
      <c r="H355" s="359"/>
    </row>
    <row r="356" spans="8:8" s="261" customFormat="1" x14ac:dyDescent="0.25">
      <c r="H356" s="359"/>
    </row>
    <row r="357" spans="8:8" s="261" customFormat="1" x14ac:dyDescent="0.25">
      <c r="H357" s="359"/>
    </row>
    <row r="358" spans="8:8" s="261" customFormat="1" x14ac:dyDescent="0.25">
      <c r="H358" s="359"/>
    </row>
    <row r="359" spans="8:8" s="261" customFormat="1" x14ac:dyDescent="0.25">
      <c r="H359" s="359"/>
    </row>
    <row r="360" spans="8:8" s="261" customFormat="1" x14ac:dyDescent="0.25">
      <c r="H360" s="359"/>
    </row>
    <row r="361" spans="8:8" s="261" customFormat="1" x14ac:dyDescent="0.25">
      <c r="H361" s="359"/>
    </row>
    <row r="362" spans="8:8" s="261" customFormat="1" x14ac:dyDescent="0.25">
      <c r="H362" s="359"/>
    </row>
    <row r="363" spans="8:8" s="261" customFormat="1" x14ac:dyDescent="0.25">
      <c r="H363" s="359"/>
    </row>
    <row r="364" spans="8:8" s="261" customFormat="1" x14ac:dyDescent="0.25">
      <c r="H364" s="359"/>
    </row>
    <row r="365" spans="8:8" s="261" customFormat="1" x14ac:dyDescent="0.25">
      <c r="H365" s="359"/>
    </row>
    <row r="366" spans="8:8" s="261" customFormat="1" x14ac:dyDescent="0.25">
      <c r="H366" s="359"/>
    </row>
    <row r="367" spans="8:8" s="261" customFormat="1" x14ac:dyDescent="0.25">
      <c r="H367" s="359"/>
    </row>
    <row r="368" spans="8:8" s="261" customFormat="1" x14ac:dyDescent="0.25">
      <c r="H368" s="359"/>
    </row>
    <row r="369" spans="8:8" s="261" customFormat="1" x14ac:dyDescent="0.25">
      <c r="H369" s="359"/>
    </row>
    <row r="370" spans="8:8" s="261" customFormat="1" x14ac:dyDescent="0.25">
      <c r="H370" s="359"/>
    </row>
    <row r="371" spans="8:8" s="261" customFormat="1" x14ac:dyDescent="0.25">
      <c r="H371" s="359"/>
    </row>
    <row r="372" spans="8:8" s="261" customFormat="1" x14ac:dyDescent="0.25">
      <c r="H372" s="359"/>
    </row>
    <row r="373" spans="8:8" s="261" customFormat="1" x14ac:dyDescent="0.25">
      <c r="H373" s="359"/>
    </row>
    <row r="374" spans="8:8" s="261" customFormat="1" x14ac:dyDescent="0.25">
      <c r="H374" s="359"/>
    </row>
    <row r="375" spans="8:8" s="261" customFormat="1" x14ac:dyDescent="0.25">
      <c r="H375" s="359"/>
    </row>
    <row r="376" spans="8:8" s="261" customFormat="1" x14ac:dyDescent="0.25">
      <c r="H376" s="359"/>
    </row>
    <row r="377" spans="8:8" s="261" customFormat="1" x14ac:dyDescent="0.25">
      <c r="H377" s="359"/>
    </row>
    <row r="378" spans="8:8" s="261" customFormat="1" x14ac:dyDescent="0.25">
      <c r="H378" s="359"/>
    </row>
    <row r="379" spans="8:8" s="261" customFormat="1" x14ac:dyDescent="0.25">
      <c r="H379" s="359"/>
    </row>
    <row r="380" spans="8:8" s="261" customFormat="1" x14ac:dyDescent="0.25">
      <c r="H380" s="359"/>
    </row>
    <row r="381" spans="8:8" s="261" customFormat="1" x14ac:dyDescent="0.25">
      <c r="H381" s="359"/>
    </row>
    <row r="382" spans="8:8" s="261" customFormat="1" x14ac:dyDescent="0.25">
      <c r="H382" s="359"/>
    </row>
    <row r="383" spans="8:8" s="261" customFormat="1" x14ac:dyDescent="0.25">
      <c r="H383" s="359"/>
    </row>
    <row r="384" spans="8:8" s="261" customFormat="1" x14ac:dyDescent="0.25">
      <c r="H384" s="359"/>
    </row>
    <row r="385" spans="8:8" s="261" customFormat="1" x14ac:dyDescent="0.25">
      <c r="H385" s="359"/>
    </row>
    <row r="386" spans="8:8" s="261" customFormat="1" x14ac:dyDescent="0.25">
      <c r="H386" s="359"/>
    </row>
    <row r="387" spans="8:8" s="261" customFormat="1" x14ac:dyDescent="0.25">
      <c r="H387" s="359"/>
    </row>
    <row r="388" spans="8:8" s="261" customFormat="1" x14ac:dyDescent="0.25">
      <c r="H388" s="359"/>
    </row>
    <row r="389" spans="8:8" s="261" customFormat="1" x14ac:dyDescent="0.25">
      <c r="H389" s="359"/>
    </row>
    <row r="390" spans="8:8" s="261" customFormat="1" x14ac:dyDescent="0.25">
      <c r="H390" s="359"/>
    </row>
    <row r="391" spans="8:8" s="261" customFormat="1" x14ac:dyDescent="0.25">
      <c r="H391" s="359"/>
    </row>
    <row r="392" spans="8:8" s="261" customFormat="1" x14ac:dyDescent="0.25">
      <c r="H392" s="359"/>
    </row>
    <row r="393" spans="8:8" s="261" customFormat="1" x14ac:dyDescent="0.25">
      <c r="H393" s="359"/>
    </row>
    <row r="394" spans="8:8" s="261" customFormat="1" x14ac:dyDescent="0.25">
      <c r="H394" s="359"/>
    </row>
    <row r="395" spans="8:8" s="261" customFormat="1" x14ac:dyDescent="0.25">
      <c r="H395" s="359"/>
    </row>
    <row r="396" spans="8:8" s="261" customFormat="1" x14ac:dyDescent="0.25">
      <c r="H396" s="359"/>
    </row>
    <row r="397" spans="8:8" s="261" customFormat="1" x14ac:dyDescent="0.25">
      <c r="H397" s="359"/>
    </row>
    <row r="398" spans="8:8" s="261" customFormat="1" x14ac:dyDescent="0.25">
      <c r="H398" s="359"/>
    </row>
    <row r="399" spans="8:8" s="261" customFormat="1" x14ac:dyDescent="0.25">
      <c r="H399" s="359"/>
    </row>
    <row r="400" spans="8:8" s="261" customFormat="1" x14ac:dyDescent="0.25">
      <c r="H400" s="359"/>
    </row>
    <row r="401" spans="8:8" s="261" customFormat="1" x14ac:dyDescent="0.25">
      <c r="H401" s="359"/>
    </row>
    <row r="402" spans="8:8" s="261" customFormat="1" x14ac:dyDescent="0.25">
      <c r="H402" s="359"/>
    </row>
    <row r="403" spans="8:8" s="261" customFormat="1" x14ac:dyDescent="0.25">
      <c r="H403" s="359"/>
    </row>
    <row r="404" spans="8:8" s="261" customFormat="1" x14ac:dyDescent="0.25">
      <c r="H404" s="359"/>
    </row>
    <row r="405" spans="8:8" s="261" customFormat="1" x14ac:dyDescent="0.25">
      <c r="H405" s="359"/>
    </row>
    <row r="406" spans="8:8" s="261" customFormat="1" x14ac:dyDescent="0.25">
      <c r="H406" s="359"/>
    </row>
    <row r="407" spans="8:8" s="261" customFormat="1" x14ac:dyDescent="0.25">
      <c r="H407" s="359"/>
    </row>
    <row r="408" spans="8:8" s="261" customFormat="1" x14ac:dyDescent="0.25">
      <c r="H408" s="359"/>
    </row>
    <row r="409" spans="8:8" s="261" customFormat="1" x14ac:dyDescent="0.25">
      <c r="H409" s="359"/>
    </row>
    <row r="410" spans="8:8" s="261" customFormat="1" x14ac:dyDescent="0.25">
      <c r="H410" s="359"/>
    </row>
    <row r="411" spans="8:8" s="261" customFormat="1" x14ac:dyDescent="0.25">
      <c r="H411" s="359"/>
    </row>
    <row r="412" spans="8:8" s="261" customFormat="1" x14ac:dyDescent="0.25">
      <c r="H412" s="359"/>
    </row>
    <row r="413" spans="8:8" s="261" customFormat="1" x14ac:dyDescent="0.25">
      <c r="H413" s="359"/>
    </row>
    <row r="414" spans="8:8" s="261" customFormat="1" x14ac:dyDescent="0.25">
      <c r="H414" s="359"/>
    </row>
    <row r="415" spans="8:8" s="261" customFormat="1" x14ac:dyDescent="0.25">
      <c r="H415" s="359"/>
    </row>
    <row r="416" spans="8:8" s="261" customFormat="1" x14ac:dyDescent="0.25">
      <c r="H416" s="359"/>
    </row>
    <row r="417" spans="8:8" s="261" customFormat="1" x14ac:dyDescent="0.25">
      <c r="H417" s="359"/>
    </row>
    <row r="418" spans="8:8" s="261" customFormat="1" x14ac:dyDescent="0.25">
      <c r="H418" s="359"/>
    </row>
    <row r="419" spans="8:8" s="261" customFormat="1" x14ac:dyDescent="0.25">
      <c r="H419" s="359"/>
    </row>
    <row r="420" spans="8:8" s="261" customFormat="1" x14ac:dyDescent="0.25">
      <c r="H420" s="359"/>
    </row>
    <row r="421" spans="8:8" s="261" customFormat="1" x14ac:dyDescent="0.25">
      <c r="H421" s="359"/>
    </row>
    <row r="422" spans="8:8" s="261" customFormat="1" x14ac:dyDescent="0.25">
      <c r="H422" s="359"/>
    </row>
    <row r="423" spans="8:8" s="261" customFormat="1" x14ac:dyDescent="0.25">
      <c r="H423" s="359"/>
    </row>
    <row r="424" spans="8:8" s="261" customFormat="1" x14ac:dyDescent="0.25">
      <c r="H424" s="359"/>
    </row>
    <row r="425" spans="8:8" s="261" customFormat="1" x14ac:dyDescent="0.25">
      <c r="H425" s="359"/>
    </row>
    <row r="426" spans="8:8" s="261" customFormat="1" x14ac:dyDescent="0.25">
      <c r="H426" s="359"/>
    </row>
    <row r="427" spans="8:8" s="261" customFormat="1" x14ac:dyDescent="0.25">
      <c r="H427" s="359"/>
    </row>
    <row r="428" spans="8:8" s="261" customFormat="1" x14ac:dyDescent="0.25">
      <c r="H428" s="359"/>
    </row>
    <row r="429" spans="8:8" s="261" customFormat="1" x14ac:dyDescent="0.25">
      <c r="H429" s="359"/>
    </row>
    <row r="430" spans="8:8" s="261" customFormat="1" x14ac:dyDescent="0.25">
      <c r="H430" s="359"/>
    </row>
    <row r="431" spans="8:8" s="261" customFormat="1" x14ac:dyDescent="0.25">
      <c r="H431" s="359"/>
    </row>
    <row r="432" spans="8:8" s="261" customFormat="1" x14ac:dyDescent="0.25">
      <c r="H432" s="359"/>
    </row>
    <row r="433" spans="8:8" s="261" customFormat="1" x14ac:dyDescent="0.25">
      <c r="H433" s="359"/>
    </row>
    <row r="434" spans="8:8" s="261" customFormat="1" x14ac:dyDescent="0.25">
      <c r="H434" s="359"/>
    </row>
    <row r="435" spans="8:8" s="261" customFormat="1" x14ac:dyDescent="0.25">
      <c r="H435" s="359"/>
    </row>
    <row r="436" spans="8:8" s="261" customFormat="1" x14ac:dyDescent="0.25">
      <c r="H436" s="359"/>
    </row>
    <row r="437" spans="8:8" s="261" customFormat="1" x14ac:dyDescent="0.25">
      <c r="H437" s="359"/>
    </row>
    <row r="438" spans="8:8" s="261" customFormat="1" x14ac:dyDescent="0.25">
      <c r="H438" s="359"/>
    </row>
    <row r="439" spans="8:8" s="261" customFormat="1" x14ac:dyDescent="0.25">
      <c r="H439" s="359"/>
    </row>
    <row r="440" spans="8:8" s="261" customFormat="1" x14ac:dyDescent="0.25">
      <c r="H440" s="359"/>
    </row>
    <row r="441" spans="8:8" s="261" customFormat="1" x14ac:dyDescent="0.25">
      <c r="H441" s="359"/>
    </row>
    <row r="442" spans="8:8" s="261" customFormat="1" x14ac:dyDescent="0.25">
      <c r="H442" s="359"/>
    </row>
    <row r="443" spans="8:8" s="261" customFormat="1" x14ac:dyDescent="0.25">
      <c r="H443" s="359"/>
    </row>
    <row r="444" spans="8:8" s="261" customFormat="1" x14ac:dyDescent="0.25">
      <c r="H444" s="359"/>
    </row>
    <row r="445" spans="8:8" s="261" customFormat="1" x14ac:dyDescent="0.25">
      <c r="H445" s="359"/>
    </row>
    <row r="446" spans="8:8" s="261" customFormat="1" x14ac:dyDescent="0.25">
      <c r="H446" s="359"/>
    </row>
    <row r="447" spans="8:8" s="261" customFormat="1" x14ac:dyDescent="0.25">
      <c r="H447" s="359"/>
    </row>
    <row r="448" spans="8:8" s="261" customFormat="1" x14ac:dyDescent="0.25">
      <c r="H448" s="359"/>
    </row>
    <row r="449" spans="8:8" s="261" customFormat="1" x14ac:dyDescent="0.25">
      <c r="H449" s="359"/>
    </row>
    <row r="450" spans="8:8" s="261" customFormat="1" x14ac:dyDescent="0.25">
      <c r="H450" s="359"/>
    </row>
    <row r="451" spans="8:8" s="261" customFormat="1" x14ac:dyDescent="0.25">
      <c r="H451" s="359"/>
    </row>
    <row r="452" spans="8:8" s="261" customFormat="1" x14ac:dyDescent="0.25">
      <c r="H452" s="359"/>
    </row>
    <row r="453" spans="8:8" s="261" customFormat="1" x14ac:dyDescent="0.25">
      <c r="H453" s="359"/>
    </row>
    <row r="454" spans="8:8" s="261" customFormat="1" x14ac:dyDescent="0.25">
      <c r="H454" s="359"/>
    </row>
    <row r="455" spans="8:8" s="261" customFormat="1" x14ac:dyDescent="0.25">
      <c r="H455" s="359"/>
    </row>
    <row r="456" spans="8:8" s="261" customFormat="1" x14ac:dyDescent="0.25">
      <c r="H456" s="359"/>
    </row>
    <row r="457" spans="8:8" s="261" customFormat="1" x14ac:dyDescent="0.25">
      <c r="H457" s="359"/>
    </row>
    <row r="458" spans="8:8" s="261" customFormat="1" x14ac:dyDescent="0.25">
      <c r="H458" s="359"/>
    </row>
    <row r="459" spans="8:8" s="261" customFormat="1" x14ac:dyDescent="0.25">
      <c r="H459" s="359"/>
    </row>
    <row r="460" spans="8:8" s="261" customFormat="1" x14ac:dyDescent="0.25">
      <c r="H460" s="359"/>
    </row>
    <row r="461" spans="8:8" s="261" customFormat="1" x14ac:dyDescent="0.25">
      <c r="H461" s="359"/>
    </row>
    <row r="462" spans="8:8" s="261" customFormat="1" x14ac:dyDescent="0.25">
      <c r="H462" s="359"/>
    </row>
    <row r="463" spans="8:8" s="261" customFormat="1" x14ac:dyDescent="0.25">
      <c r="H463" s="359"/>
    </row>
    <row r="464" spans="8:8" s="261" customFormat="1" x14ac:dyDescent="0.25">
      <c r="H464" s="359"/>
    </row>
    <row r="465" spans="8:8" s="261" customFormat="1" x14ac:dyDescent="0.25">
      <c r="H465" s="359"/>
    </row>
    <row r="466" spans="8:8" s="261" customFormat="1" x14ac:dyDescent="0.25">
      <c r="H466" s="359"/>
    </row>
    <row r="467" spans="8:8" s="261" customFormat="1" x14ac:dyDescent="0.25">
      <c r="H467" s="359"/>
    </row>
    <row r="468" spans="8:8" s="261" customFormat="1" x14ac:dyDescent="0.25">
      <c r="H468" s="359"/>
    </row>
    <row r="469" spans="8:8" s="261" customFormat="1" x14ac:dyDescent="0.25">
      <c r="H469" s="359"/>
    </row>
    <row r="470" spans="8:8" s="261" customFormat="1" x14ac:dyDescent="0.25">
      <c r="H470" s="359"/>
    </row>
    <row r="471" spans="8:8" s="261" customFormat="1" x14ac:dyDescent="0.25">
      <c r="H471" s="359"/>
    </row>
    <row r="472" spans="8:8" s="261" customFormat="1" x14ac:dyDescent="0.25">
      <c r="H472" s="359"/>
    </row>
    <row r="473" spans="8:8" s="261" customFormat="1" x14ac:dyDescent="0.25">
      <c r="H473" s="359"/>
    </row>
    <row r="474" spans="8:8" s="261" customFormat="1" x14ac:dyDescent="0.25">
      <c r="H474" s="359"/>
    </row>
    <row r="475" spans="8:8" s="261" customFormat="1" x14ac:dyDescent="0.25">
      <c r="H475" s="359"/>
    </row>
    <row r="476" spans="8:8" s="261" customFormat="1" x14ac:dyDescent="0.25">
      <c r="H476" s="359"/>
    </row>
    <row r="477" spans="8:8" s="261" customFormat="1" x14ac:dyDescent="0.25">
      <c r="H477" s="359"/>
    </row>
    <row r="478" spans="8:8" s="261" customFormat="1" x14ac:dyDescent="0.25">
      <c r="H478" s="359"/>
    </row>
    <row r="479" spans="8:8" s="261" customFormat="1" x14ac:dyDescent="0.25">
      <c r="H479" s="359"/>
    </row>
    <row r="480" spans="8:8" s="261" customFormat="1" x14ac:dyDescent="0.25">
      <c r="H480" s="359"/>
    </row>
    <row r="481" spans="8:8" s="261" customFormat="1" x14ac:dyDescent="0.25">
      <c r="H481" s="359"/>
    </row>
    <row r="482" spans="8:8" s="261" customFormat="1" x14ac:dyDescent="0.25">
      <c r="H482" s="359"/>
    </row>
    <row r="483" spans="8:8" s="261" customFormat="1" x14ac:dyDescent="0.25">
      <c r="H483" s="359"/>
    </row>
    <row r="484" spans="8:8" s="261" customFormat="1" x14ac:dyDescent="0.25">
      <c r="H484" s="359"/>
    </row>
    <row r="485" spans="8:8" s="261" customFormat="1" x14ac:dyDescent="0.25">
      <c r="H485" s="359"/>
    </row>
    <row r="486" spans="8:8" s="261" customFormat="1" x14ac:dyDescent="0.25">
      <c r="H486" s="359"/>
    </row>
    <row r="487" spans="8:8" s="261" customFormat="1" x14ac:dyDescent="0.25">
      <c r="H487" s="359"/>
    </row>
    <row r="488" spans="8:8" s="261" customFormat="1" x14ac:dyDescent="0.25">
      <c r="H488" s="359"/>
    </row>
    <row r="489" spans="8:8" s="261" customFormat="1" x14ac:dyDescent="0.25">
      <c r="H489" s="359"/>
    </row>
    <row r="490" spans="8:8" s="261" customFormat="1" x14ac:dyDescent="0.25">
      <c r="H490" s="359"/>
    </row>
    <row r="491" spans="8:8" s="261" customFormat="1" x14ac:dyDescent="0.25">
      <c r="H491" s="359"/>
    </row>
    <row r="492" spans="8:8" s="261" customFormat="1" x14ac:dyDescent="0.25">
      <c r="H492" s="359"/>
    </row>
    <row r="493" spans="8:8" s="261" customFormat="1" x14ac:dyDescent="0.25">
      <c r="H493" s="359"/>
    </row>
    <row r="494" spans="8:8" s="261" customFormat="1" x14ac:dyDescent="0.25">
      <c r="H494" s="359"/>
    </row>
    <row r="495" spans="8:8" s="261" customFormat="1" x14ac:dyDescent="0.25">
      <c r="H495" s="359"/>
    </row>
    <row r="496" spans="8:8" s="261" customFormat="1" x14ac:dyDescent="0.25">
      <c r="H496" s="359"/>
    </row>
    <row r="497" spans="8:8" s="261" customFormat="1" x14ac:dyDescent="0.25">
      <c r="H497" s="359"/>
    </row>
    <row r="498" spans="8:8" s="261" customFormat="1" x14ac:dyDescent="0.25">
      <c r="H498" s="359"/>
    </row>
    <row r="499" spans="8:8" s="261" customFormat="1" x14ac:dyDescent="0.25">
      <c r="H499" s="359"/>
    </row>
    <row r="500" spans="8:8" s="261" customFormat="1" x14ac:dyDescent="0.25">
      <c r="H500" s="359"/>
    </row>
    <row r="501" spans="8:8" s="261" customFormat="1" x14ac:dyDescent="0.25">
      <c r="H501" s="359"/>
    </row>
    <row r="502" spans="8:8" s="261" customFormat="1" x14ac:dyDescent="0.25">
      <c r="H502" s="359"/>
    </row>
    <row r="503" spans="8:8" s="261" customFormat="1" x14ac:dyDescent="0.25">
      <c r="H503" s="359"/>
    </row>
    <row r="504" spans="8:8" s="261" customFormat="1" x14ac:dyDescent="0.25">
      <c r="H504" s="359"/>
    </row>
    <row r="505" spans="8:8" s="261" customFormat="1" x14ac:dyDescent="0.25">
      <c r="H505" s="359"/>
    </row>
    <row r="506" spans="8:8" s="261" customFormat="1" x14ac:dyDescent="0.25">
      <c r="H506" s="359"/>
    </row>
    <row r="507" spans="8:8" s="261" customFormat="1" x14ac:dyDescent="0.25">
      <c r="H507" s="359"/>
    </row>
    <row r="508" spans="8:8" s="261" customFormat="1" x14ac:dyDescent="0.25">
      <c r="H508" s="359"/>
    </row>
    <row r="509" spans="8:8" s="261" customFormat="1" x14ac:dyDescent="0.25">
      <c r="H509" s="359"/>
    </row>
    <row r="510" spans="8:8" s="261" customFormat="1" x14ac:dyDescent="0.25">
      <c r="H510" s="359"/>
    </row>
    <row r="511" spans="8:8" s="261" customFormat="1" x14ac:dyDescent="0.25">
      <c r="H511" s="359"/>
    </row>
    <row r="512" spans="8:8" s="261" customFormat="1" x14ac:dyDescent="0.25">
      <c r="H512" s="359"/>
    </row>
    <row r="513" spans="8:8" s="261" customFormat="1" x14ac:dyDescent="0.25">
      <c r="H513" s="359"/>
    </row>
    <row r="514" spans="8:8" s="261" customFormat="1" x14ac:dyDescent="0.25">
      <c r="H514" s="359"/>
    </row>
    <row r="515" spans="8:8" s="261" customFormat="1" x14ac:dyDescent="0.25">
      <c r="H515" s="359"/>
    </row>
    <row r="516" spans="8:8" s="261" customFormat="1" x14ac:dyDescent="0.25">
      <c r="H516" s="359"/>
    </row>
    <row r="517" spans="8:8" s="261" customFormat="1" x14ac:dyDescent="0.25">
      <c r="H517" s="359"/>
    </row>
    <row r="518" spans="8:8" s="261" customFormat="1" x14ac:dyDescent="0.25">
      <c r="H518" s="359"/>
    </row>
    <row r="519" spans="8:8" s="261" customFormat="1" x14ac:dyDescent="0.25">
      <c r="H519" s="359"/>
    </row>
    <row r="520" spans="8:8" s="261" customFormat="1" x14ac:dyDescent="0.25">
      <c r="H520" s="359"/>
    </row>
    <row r="521" spans="8:8" s="261" customFormat="1" x14ac:dyDescent="0.25">
      <c r="H521" s="359"/>
    </row>
    <row r="522" spans="8:8" s="261" customFormat="1" x14ac:dyDescent="0.25">
      <c r="H522" s="359"/>
    </row>
    <row r="523" spans="8:8" s="261" customFormat="1" x14ac:dyDescent="0.25">
      <c r="H523" s="359"/>
    </row>
    <row r="524" spans="8:8" s="261" customFormat="1" x14ac:dyDescent="0.25">
      <c r="H524" s="359"/>
    </row>
    <row r="525" spans="8:8" s="261" customFormat="1" x14ac:dyDescent="0.25">
      <c r="H525" s="359"/>
    </row>
    <row r="526" spans="8:8" s="261" customFormat="1" x14ac:dyDescent="0.25">
      <c r="H526" s="359"/>
    </row>
    <row r="527" spans="8:8" s="261" customFormat="1" x14ac:dyDescent="0.25">
      <c r="H527" s="359"/>
    </row>
    <row r="528" spans="8:8" s="261" customFormat="1" x14ac:dyDescent="0.25">
      <c r="H528" s="359"/>
    </row>
    <row r="529" spans="8:8" s="261" customFormat="1" x14ac:dyDescent="0.25">
      <c r="H529" s="359"/>
    </row>
    <row r="530" spans="8:8" s="261" customFormat="1" x14ac:dyDescent="0.25">
      <c r="H530" s="359"/>
    </row>
    <row r="531" spans="8:8" s="261" customFormat="1" x14ac:dyDescent="0.25">
      <c r="H531" s="359"/>
    </row>
    <row r="532" spans="8:8" s="261" customFormat="1" x14ac:dyDescent="0.25">
      <c r="H532" s="359"/>
    </row>
    <row r="533" spans="8:8" s="261" customFormat="1" x14ac:dyDescent="0.25">
      <c r="H533" s="359"/>
    </row>
    <row r="534" spans="8:8" s="261" customFormat="1" x14ac:dyDescent="0.25">
      <c r="H534" s="359"/>
    </row>
    <row r="535" spans="8:8" s="261" customFormat="1" x14ac:dyDescent="0.25">
      <c r="H535" s="359"/>
    </row>
    <row r="536" spans="8:8" s="261" customFormat="1" x14ac:dyDescent="0.25">
      <c r="H536" s="359"/>
    </row>
    <row r="537" spans="8:8" s="261" customFormat="1" x14ac:dyDescent="0.25">
      <c r="H537" s="359"/>
    </row>
    <row r="538" spans="8:8" s="261" customFormat="1" x14ac:dyDescent="0.25">
      <c r="H538" s="359"/>
    </row>
    <row r="539" spans="8:8" s="261" customFormat="1" x14ac:dyDescent="0.25">
      <c r="H539" s="359"/>
    </row>
    <row r="540" spans="8:8" s="261" customFormat="1" x14ac:dyDescent="0.25">
      <c r="H540" s="359"/>
    </row>
    <row r="541" spans="8:8" s="261" customFormat="1" x14ac:dyDescent="0.25">
      <c r="H541" s="359"/>
    </row>
    <row r="542" spans="8:8" s="261" customFormat="1" x14ac:dyDescent="0.25">
      <c r="H542" s="359"/>
    </row>
    <row r="543" spans="8:8" s="261" customFormat="1" x14ac:dyDescent="0.25">
      <c r="H543" s="359"/>
    </row>
    <row r="544" spans="8:8" s="261" customFormat="1" x14ac:dyDescent="0.25">
      <c r="H544" s="359"/>
    </row>
    <row r="545" spans="8:8" s="261" customFormat="1" x14ac:dyDescent="0.25">
      <c r="H545" s="359"/>
    </row>
    <row r="546" spans="8:8" s="261" customFormat="1" x14ac:dyDescent="0.25">
      <c r="H546" s="359"/>
    </row>
    <row r="547" spans="8:8" s="261" customFormat="1" x14ac:dyDescent="0.25">
      <c r="H547" s="359"/>
    </row>
    <row r="548" spans="8:8" s="261" customFormat="1" x14ac:dyDescent="0.25">
      <c r="H548" s="359"/>
    </row>
    <row r="549" spans="8:8" s="261" customFormat="1" x14ac:dyDescent="0.25">
      <c r="H549" s="359"/>
    </row>
    <row r="550" spans="8:8" s="261" customFormat="1" x14ac:dyDescent="0.25">
      <c r="H550" s="359"/>
    </row>
    <row r="551" spans="8:8" s="261" customFormat="1" x14ac:dyDescent="0.25">
      <c r="H551" s="359"/>
    </row>
    <row r="552" spans="8:8" s="261" customFormat="1" x14ac:dyDescent="0.25">
      <c r="H552" s="359"/>
    </row>
    <row r="553" spans="8:8" s="261" customFormat="1" x14ac:dyDescent="0.25">
      <c r="H553" s="359"/>
    </row>
    <row r="554" spans="8:8" s="261" customFormat="1" x14ac:dyDescent="0.25">
      <c r="H554" s="359"/>
    </row>
    <row r="555" spans="8:8" s="261" customFormat="1" x14ac:dyDescent="0.25">
      <c r="H555" s="359"/>
    </row>
    <row r="556" spans="8:8" s="261" customFormat="1" x14ac:dyDescent="0.25">
      <c r="H556" s="359"/>
    </row>
    <row r="557" spans="8:8" s="261" customFormat="1" x14ac:dyDescent="0.25">
      <c r="H557" s="359"/>
    </row>
    <row r="558" spans="8:8" s="261" customFormat="1" x14ac:dyDescent="0.25">
      <c r="H558" s="359"/>
    </row>
    <row r="559" spans="8:8" s="261" customFormat="1" x14ac:dyDescent="0.25">
      <c r="H559" s="359"/>
    </row>
    <row r="560" spans="8:8" s="261" customFormat="1" x14ac:dyDescent="0.25">
      <c r="H560" s="359"/>
    </row>
    <row r="561" spans="8:8" s="261" customFormat="1" x14ac:dyDescent="0.25">
      <c r="H561" s="359"/>
    </row>
    <row r="562" spans="8:8" s="261" customFormat="1" x14ac:dyDescent="0.25">
      <c r="H562" s="359"/>
    </row>
    <row r="563" spans="8:8" s="261" customFormat="1" x14ac:dyDescent="0.25">
      <c r="H563" s="359"/>
    </row>
    <row r="564" spans="8:8" s="261" customFormat="1" x14ac:dyDescent="0.25">
      <c r="H564" s="359"/>
    </row>
    <row r="565" spans="8:8" s="261" customFormat="1" x14ac:dyDescent="0.25">
      <c r="H565" s="359"/>
    </row>
    <row r="566" spans="8:8" s="261" customFormat="1" x14ac:dyDescent="0.25">
      <c r="H566" s="359"/>
    </row>
    <row r="567" spans="8:8" s="261" customFormat="1" x14ac:dyDescent="0.25">
      <c r="H567" s="359"/>
    </row>
    <row r="568" spans="8:8" s="261" customFormat="1" x14ac:dyDescent="0.25">
      <c r="H568" s="359"/>
    </row>
    <row r="569" spans="8:8" s="261" customFormat="1" x14ac:dyDescent="0.25">
      <c r="H569" s="359"/>
    </row>
    <row r="570" spans="8:8" s="261" customFormat="1" x14ac:dyDescent="0.25">
      <c r="H570" s="359"/>
    </row>
    <row r="571" spans="8:8" s="261" customFormat="1" x14ac:dyDescent="0.25">
      <c r="H571" s="359"/>
    </row>
    <row r="572" spans="8:8" s="261" customFormat="1" x14ac:dyDescent="0.25">
      <c r="H572" s="359"/>
    </row>
    <row r="573" spans="8:8" s="261" customFormat="1" x14ac:dyDescent="0.25">
      <c r="H573" s="359"/>
    </row>
    <row r="574" spans="8:8" s="261" customFormat="1" x14ac:dyDescent="0.25">
      <c r="H574" s="359"/>
    </row>
    <row r="575" spans="8:8" s="261" customFormat="1" x14ac:dyDescent="0.25">
      <c r="H575" s="359"/>
    </row>
    <row r="576" spans="8:8" s="261" customFormat="1" x14ac:dyDescent="0.25">
      <c r="H576" s="359"/>
    </row>
    <row r="577" spans="8:8" s="261" customFormat="1" x14ac:dyDescent="0.25">
      <c r="H577" s="359"/>
    </row>
    <row r="578" spans="8:8" s="261" customFormat="1" x14ac:dyDescent="0.25">
      <c r="H578" s="359"/>
    </row>
    <row r="579" spans="8:8" s="261" customFormat="1" x14ac:dyDescent="0.25">
      <c r="H579" s="359"/>
    </row>
    <row r="580" spans="8:8" s="261" customFormat="1" x14ac:dyDescent="0.25">
      <c r="H580" s="359"/>
    </row>
    <row r="581" spans="8:8" s="261" customFormat="1" x14ac:dyDescent="0.25">
      <c r="H581" s="359"/>
    </row>
    <row r="582" spans="8:8" s="261" customFormat="1" x14ac:dyDescent="0.25">
      <c r="H582" s="359"/>
    </row>
    <row r="583" spans="8:8" s="261" customFormat="1" x14ac:dyDescent="0.25">
      <c r="H583" s="359"/>
    </row>
    <row r="584" spans="8:8" s="261" customFormat="1" x14ac:dyDescent="0.25">
      <c r="H584" s="359"/>
    </row>
    <row r="585" spans="8:8" s="261" customFormat="1" x14ac:dyDescent="0.25">
      <c r="H585" s="359"/>
    </row>
    <row r="586" spans="8:8" s="261" customFormat="1" x14ac:dyDescent="0.25">
      <c r="H586" s="359"/>
    </row>
    <row r="587" spans="8:8" s="261" customFormat="1" x14ac:dyDescent="0.25">
      <c r="H587" s="359"/>
    </row>
    <row r="588" spans="8:8" s="261" customFormat="1" x14ac:dyDescent="0.25">
      <c r="H588" s="359"/>
    </row>
    <row r="589" spans="8:8" s="261" customFormat="1" x14ac:dyDescent="0.25">
      <c r="H589" s="359"/>
    </row>
    <row r="590" spans="8:8" s="261" customFormat="1" x14ac:dyDescent="0.25">
      <c r="H590" s="359"/>
    </row>
    <row r="591" spans="8:8" s="261" customFormat="1" x14ac:dyDescent="0.25">
      <c r="H591" s="359"/>
    </row>
    <row r="592" spans="8:8" s="261" customFormat="1" x14ac:dyDescent="0.25">
      <c r="H592" s="359"/>
    </row>
    <row r="593" spans="8:8" s="261" customFormat="1" x14ac:dyDescent="0.25">
      <c r="H593" s="359"/>
    </row>
    <row r="594" spans="8:8" s="261" customFormat="1" x14ac:dyDescent="0.25">
      <c r="H594" s="359"/>
    </row>
    <row r="595" spans="8:8" s="261" customFormat="1" x14ac:dyDescent="0.25">
      <c r="H595" s="359"/>
    </row>
    <row r="596" spans="8:8" s="261" customFormat="1" x14ac:dyDescent="0.25">
      <c r="H596" s="359"/>
    </row>
    <row r="597" spans="8:8" s="261" customFormat="1" x14ac:dyDescent="0.25">
      <c r="H597" s="359"/>
    </row>
    <row r="598" spans="8:8" s="261" customFormat="1" x14ac:dyDescent="0.25">
      <c r="H598" s="359"/>
    </row>
    <row r="599" spans="8:8" s="261" customFormat="1" x14ac:dyDescent="0.25">
      <c r="H599" s="359"/>
    </row>
    <row r="600" spans="8:8" s="261" customFormat="1" x14ac:dyDescent="0.25">
      <c r="H600" s="359"/>
    </row>
    <row r="601" spans="8:8" s="261" customFormat="1" x14ac:dyDescent="0.25">
      <c r="H601" s="359"/>
    </row>
    <row r="602" spans="8:8" s="261" customFormat="1" x14ac:dyDescent="0.25">
      <c r="H602" s="359"/>
    </row>
    <row r="603" spans="8:8" s="261" customFormat="1" x14ac:dyDescent="0.25">
      <c r="H603" s="359"/>
    </row>
    <row r="604" spans="8:8" s="261" customFormat="1" x14ac:dyDescent="0.25">
      <c r="H604" s="359"/>
    </row>
    <row r="605" spans="8:8" s="261" customFormat="1" x14ac:dyDescent="0.25">
      <c r="H605" s="359"/>
    </row>
    <row r="606" spans="8:8" s="261" customFormat="1" x14ac:dyDescent="0.25">
      <c r="H606" s="359"/>
    </row>
    <row r="607" spans="8:8" s="261" customFormat="1" x14ac:dyDescent="0.25">
      <c r="H607" s="359"/>
    </row>
    <row r="608" spans="8:8" s="261" customFormat="1" x14ac:dyDescent="0.25">
      <c r="H608" s="359"/>
    </row>
    <row r="609" spans="8:8" s="261" customFormat="1" x14ac:dyDescent="0.25">
      <c r="H609" s="359"/>
    </row>
    <row r="610" spans="8:8" s="261" customFormat="1" x14ac:dyDescent="0.25">
      <c r="H610" s="359"/>
    </row>
    <row r="611" spans="8:8" s="261" customFormat="1" x14ac:dyDescent="0.25">
      <c r="H611" s="359"/>
    </row>
    <row r="612" spans="8:8" s="261" customFormat="1" x14ac:dyDescent="0.25">
      <c r="H612" s="359"/>
    </row>
    <row r="613" spans="8:8" s="261" customFormat="1" x14ac:dyDescent="0.25">
      <c r="H613" s="359"/>
    </row>
    <row r="614" spans="8:8" s="261" customFormat="1" x14ac:dyDescent="0.25">
      <c r="H614" s="359"/>
    </row>
    <row r="615" spans="8:8" s="261" customFormat="1" x14ac:dyDescent="0.25">
      <c r="H615" s="359"/>
    </row>
    <row r="616" spans="8:8" s="261" customFormat="1" x14ac:dyDescent="0.25">
      <c r="H616" s="359"/>
    </row>
    <row r="617" spans="8:8" s="261" customFormat="1" x14ac:dyDescent="0.25">
      <c r="H617" s="359"/>
    </row>
    <row r="618" spans="8:8" s="261" customFormat="1" x14ac:dyDescent="0.25">
      <c r="H618" s="359"/>
    </row>
    <row r="619" spans="8:8" s="261" customFormat="1" x14ac:dyDescent="0.25">
      <c r="H619" s="359"/>
    </row>
    <row r="620" spans="8:8" s="261" customFormat="1" x14ac:dyDescent="0.25">
      <c r="H620" s="359"/>
    </row>
    <row r="621" spans="8:8" s="261" customFormat="1" x14ac:dyDescent="0.25">
      <c r="H621" s="359"/>
    </row>
    <row r="622" spans="8:8" s="261" customFormat="1" x14ac:dyDescent="0.25">
      <c r="H622" s="359"/>
    </row>
    <row r="623" spans="8:8" s="261" customFormat="1" x14ac:dyDescent="0.25">
      <c r="H623" s="359"/>
    </row>
    <row r="624" spans="8:8" s="261" customFormat="1" x14ac:dyDescent="0.25">
      <c r="H624" s="359"/>
    </row>
    <row r="625" spans="8:8" s="261" customFormat="1" x14ac:dyDescent="0.25">
      <c r="H625" s="359"/>
    </row>
    <row r="626" spans="8:8" s="261" customFormat="1" x14ac:dyDescent="0.25">
      <c r="H626" s="359"/>
    </row>
    <row r="627" spans="8:8" s="261" customFormat="1" x14ac:dyDescent="0.25">
      <c r="H627" s="359"/>
    </row>
    <row r="628" spans="8:8" s="261" customFormat="1" x14ac:dyDescent="0.25">
      <c r="H628" s="359"/>
    </row>
    <row r="629" spans="8:8" s="261" customFormat="1" x14ac:dyDescent="0.25">
      <c r="H629" s="359"/>
    </row>
    <row r="630" spans="8:8" s="261" customFormat="1" x14ac:dyDescent="0.25">
      <c r="H630" s="359"/>
    </row>
    <row r="631" spans="8:8" s="261" customFormat="1" x14ac:dyDescent="0.25">
      <c r="H631" s="359"/>
    </row>
    <row r="632" spans="8:8" s="261" customFormat="1" x14ac:dyDescent="0.25">
      <c r="H632" s="359"/>
    </row>
    <row r="633" spans="8:8" s="261" customFormat="1" x14ac:dyDescent="0.25">
      <c r="H633" s="359"/>
    </row>
    <row r="634" spans="8:8" s="261" customFormat="1" x14ac:dyDescent="0.25">
      <c r="H634" s="359"/>
    </row>
    <row r="635" spans="8:8" s="261" customFormat="1" x14ac:dyDescent="0.25">
      <c r="H635" s="359"/>
    </row>
    <row r="636" spans="8:8" s="261" customFormat="1" x14ac:dyDescent="0.25">
      <c r="H636" s="359"/>
    </row>
    <row r="637" spans="8:8" s="261" customFormat="1" x14ac:dyDescent="0.25">
      <c r="H637" s="359"/>
    </row>
    <row r="638" spans="8:8" s="261" customFormat="1" x14ac:dyDescent="0.25">
      <c r="H638" s="359"/>
    </row>
    <row r="639" spans="8:8" s="261" customFormat="1" x14ac:dyDescent="0.25">
      <c r="H639" s="359"/>
    </row>
    <row r="640" spans="8:8" s="261" customFormat="1" x14ac:dyDescent="0.25">
      <c r="H640" s="359"/>
    </row>
    <row r="641" spans="8:8" s="261" customFormat="1" x14ac:dyDescent="0.25">
      <c r="H641" s="359"/>
    </row>
    <row r="642" spans="8:8" s="261" customFormat="1" x14ac:dyDescent="0.25">
      <c r="H642" s="359"/>
    </row>
    <row r="643" spans="8:8" s="261" customFormat="1" x14ac:dyDescent="0.25">
      <c r="H643" s="359"/>
    </row>
    <row r="644" spans="8:8" s="261" customFormat="1" x14ac:dyDescent="0.25">
      <c r="H644" s="359"/>
    </row>
    <row r="645" spans="8:8" s="261" customFormat="1" x14ac:dyDescent="0.25">
      <c r="H645" s="359"/>
    </row>
    <row r="646" spans="8:8" s="261" customFormat="1" x14ac:dyDescent="0.25">
      <c r="H646" s="359"/>
    </row>
    <row r="647" spans="8:8" s="261" customFormat="1" x14ac:dyDescent="0.25">
      <c r="H647" s="359"/>
    </row>
    <row r="648" spans="8:8" s="261" customFormat="1" x14ac:dyDescent="0.25">
      <c r="H648" s="359"/>
    </row>
    <row r="649" spans="8:8" s="261" customFormat="1" x14ac:dyDescent="0.25">
      <c r="H649" s="359"/>
    </row>
    <row r="650" spans="8:8" s="261" customFormat="1" x14ac:dyDescent="0.25">
      <c r="H650" s="359"/>
    </row>
    <row r="651" spans="8:8" s="261" customFormat="1" x14ac:dyDescent="0.25">
      <c r="H651" s="359"/>
    </row>
    <row r="652" spans="8:8" s="261" customFormat="1" x14ac:dyDescent="0.25">
      <c r="H652" s="359"/>
    </row>
    <row r="653" spans="8:8" s="261" customFormat="1" x14ac:dyDescent="0.25">
      <c r="H653" s="359"/>
    </row>
    <row r="654" spans="8:8" s="261" customFormat="1" x14ac:dyDescent="0.25">
      <c r="H654" s="359"/>
    </row>
    <row r="655" spans="8:8" s="261" customFormat="1" x14ac:dyDescent="0.25">
      <c r="H655" s="359"/>
    </row>
    <row r="656" spans="8:8" s="261" customFormat="1" x14ac:dyDescent="0.25">
      <c r="H656" s="359"/>
    </row>
    <row r="657" spans="8:8" s="261" customFormat="1" x14ac:dyDescent="0.25">
      <c r="H657" s="359"/>
    </row>
    <row r="658" spans="8:8" s="261" customFormat="1" x14ac:dyDescent="0.25">
      <c r="H658" s="359"/>
    </row>
    <row r="659" spans="8:8" s="261" customFormat="1" x14ac:dyDescent="0.25">
      <c r="H659" s="359"/>
    </row>
    <row r="660" spans="8:8" s="261" customFormat="1" x14ac:dyDescent="0.25">
      <c r="H660" s="359"/>
    </row>
    <row r="661" spans="8:8" s="261" customFormat="1" x14ac:dyDescent="0.25">
      <c r="H661" s="359"/>
    </row>
    <row r="662" spans="8:8" s="261" customFormat="1" x14ac:dyDescent="0.25">
      <c r="H662" s="359"/>
    </row>
    <row r="663" spans="8:8" s="261" customFormat="1" x14ac:dyDescent="0.25">
      <c r="H663" s="359"/>
    </row>
    <row r="664" spans="8:8" s="261" customFormat="1" x14ac:dyDescent="0.25">
      <c r="H664" s="359"/>
    </row>
    <row r="665" spans="8:8" s="261" customFormat="1" x14ac:dyDescent="0.25">
      <c r="H665" s="359"/>
    </row>
    <row r="666" spans="8:8" s="261" customFormat="1" x14ac:dyDescent="0.25">
      <c r="H666" s="359"/>
    </row>
    <row r="667" spans="8:8" s="261" customFormat="1" x14ac:dyDescent="0.25">
      <c r="H667" s="359"/>
    </row>
    <row r="668" spans="8:8" s="261" customFormat="1" x14ac:dyDescent="0.25">
      <c r="H668" s="359"/>
    </row>
    <row r="669" spans="8:8" s="261" customFormat="1" x14ac:dyDescent="0.25">
      <c r="H669" s="359"/>
    </row>
    <row r="670" spans="8:8" s="261" customFormat="1" x14ac:dyDescent="0.25">
      <c r="H670" s="359"/>
    </row>
    <row r="671" spans="8:8" s="261" customFormat="1" x14ac:dyDescent="0.25">
      <c r="H671" s="359"/>
    </row>
    <row r="672" spans="8:8" s="261" customFormat="1" x14ac:dyDescent="0.25">
      <c r="H672" s="359"/>
    </row>
    <row r="673" spans="8:8" s="261" customFormat="1" x14ac:dyDescent="0.25">
      <c r="H673" s="359"/>
    </row>
    <row r="674" spans="8:8" s="261" customFormat="1" x14ac:dyDescent="0.25">
      <c r="H674" s="359"/>
    </row>
    <row r="675" spans="8:8" s="261" customFormat="1" x14ac:dyDescent="0.25">
      <c r="H675" s="359"/>
    </row>
    <row r="676" spans="8:8" s="261" customFormat="1" x14ac:dyDescent="0.25">
      <c r="H676" s="359"/>
    </row>
    <row r="677" spans="8:8" s="261" customFormat="1" x14ac:dyDescent="0.25">
      <c r="H677" s="359"/>
    </row>
    <row r="678" spans="8:8" s="261" customFormat="1" x14ac:dyDescent="0.25">
      <c r="H678" s="359"/>
    </row>
    <row r="679" spans="8:8" s="261" customFormat="1" x14ac:dyDescent="0.25">
      <c r="H679" s="359"/>
    </row>
    <row r="680" spans="8:8" s="261" customFormat="1" x14ac:dyDescent="0.25">
      <c r="H680" s="359"/>
    </row>
    <row r="681" spans="8:8" s="261" customFormat="1" x14ac:dyDescent="0.25">
      <c r="H681" s="359"/>
    </row>
    <row r="682" spans="8:8" s="261" customFormat="1" x14ac:dyDescent="0.25">
      <c r="H682" s="359"/>
    </row>
    <row r="683" spans="8:8" s="261" customFormat="1" x14ac:dyDescent="0.25">
      <c r="H683" s="359"/>
    </row>
    <row r="684" spans="8:8" s="261" customFormat="1" x14ac:dyDescent="0.25">
      <c r="H684" s="359"/>
    </row>
    <row r="685" spans="8:8" s="261" customFormat="1" x14ac:dyDescent="0.25">
      <c r="H685" s="359"/>
    </row>
    <row r="686" spans="8:8" s="261" customFormat="1" x14ac:dyDescent="0.25">
      <c r="H686" s="359"/>
    </row>
    <row r="687" spans="8:8" s="261" customFormat="1" x14ac:dyDescent="0.25">
      <c r="H687" s="359"/>
    </row>
    <row r="688" spans="8:8" s="261" customFormat="1" x14ac:dyDescent="0.25">
      <c r="H688" s="359"/>
    </row>
    <row r="689" spans="8:8" s="261" customFormat="1" x14ac:dyDescent="0.25">
      <c r="H689" s="359"/>
    </row>
    <row r="690" spans="8:8" s="261" customFormat="1" x14ac:dyDescent="0.25">
      <c r="H690" s="359"/>
    </row>
    <row r="691" spans="8:8" s="261" customFormat="1" x14ac:dyDescent="0.25">
      <c r="H691" s="359"/>
    </row>
    <row r="692" spans="8:8" s="261" customFormat="1" x14ac:dyDescent="0.25">
      <c r="H692" s="359"/>
    </row>
    <row r="693" spans="8:8" s="261" customFormat="1" x14ac:dyDescent="0.25">
      <c r="H693" s="359"/>
    </row>
    <row r="694" spans="8:8" s="261" customFormat="1" x14ac:dyDescent="0.25">
      <c r="H694" s="359"/>
    </row>
    <row r="695" spans="8:8" s="261" customFormat="1" x14ac:dyDescent="0.25">
      <c r="H695" s="359"/>
    </row>
    <row r="696" spans="8:8" s="261" customFormat="1" x14ac:dyDescent="0.25">
      <c r="H696" s="359"/>
    </row>
    <row r="697" spans="8:8" s="261" customFormat="1" x14ac:dyDescent="0.25">
      <c r="H697" s="359"/>
    </row>
    <row r="698" spans="8:8" s="261" customFormat="1" x14ac:dyDescent="0.25">
      <c r="H698" s="359"/>
    </row>
    <row r="699" spans="8:8" s="261" customFormat="1" x14ac:dyDescent="0.25">
      <c r="H699" s="359"/>
    </row>
    <row r="700" spans="8:8" s="261" customFormat="1" x14ac:dyDescent="0.25">
      <c r="H700" s="359"/>
    </row>
    <row r="701" spans="8:8" s="261" customFormat="1" x14ac:dyDescent="0.25">
      <c r="H701" s="359"/>
    </row>
    <row r="702" spans="8:8" s="261" customFormat="1" x14ac:dyDescent="0.25">
      <c r="H702" s="359"/>
    </row>
    <row r="703" spans="8:8" s="261" customFormat="1" x14ac:dyDescent="0.25">
      <c r="H703" s="359"/>
    </row>
    <row r="704" spans="8:8" s="261" customFormat="1" x14ac:dyDescent="0.25">
      <c r="H704" s="359"/>
    </row>
    <row r="705" spans="8:8" s="261" customFormat="1" x14ac:dyDescent="0.25">
      <c r="H705" s="359"/>
    </row>
    <row r="706" spans="8:8" s="261" customFormat="1" x14ac:dyDescent="0.25">
      <c r="H706" s="359"/>
    </row>
    <row r="707" spans="8:8" s="261" customFormat="1" x14ac:dyDescent="0.25">
      <c r="H707" s="359"/>
    </row>
    <row r="708" spans="8:8" s="261" customFormat="1" x14ac:dyDescent="0.25">
      <c r="H708" s="359"/>
    </row>
    <row r="709" spans="8:8" s="261" customFormat="1" x14ac:dyDescent="0.25">
      <c r="H709" s="359"/>
    </row>
    <row r="710" spans="8:8" s="261" customFormat="1" x14ac:dyDescent="0.25">
      <c r="H710" s="359"/>
    </row>
    <row r="711" spans="8:8" s="261" customFormat="1" x14ac:dyDescent="0.25">
      <c r="H711" s="359"/>
    </row>
    <row r="712" spans="8:8" s="261" customFormat="1" x14ac:dyDescent="0.25">
      <c r="H712" s="359"/>
    </row>
    <row r="713" spans="8:8" s="261" customFormat="1" x14ac:dyDescent="0.25">
      <c r="H713" s="359"/>
    </row>
    <row r="714" spans="8:8" s="261" customFormat="1" x14ac:dyDescent="0.25">
      <c r="H714" s="359"/>
    </row>
    <row r="715" spans="8:8" s="261" customFormat="1" x14ac:dyDescent="0.25">
      <c r="H715" s="359"/>
    </row>
    <row r="716" spans="8:8" s="261" customFormat="1" x14ac:dyDescent="0.25">
      <c r="H716" s="359"/>
    </row>
    <row r="717" spans="8:8" s="261" customFormat="1" x14ac:dyDescent="0.25">
      <c r="H717" s="359"/>
    </row>
    <row r="718" spans="8:8" s="261" customFormat="1" x14ac:dyDescent="0.25">
      <c r="H718" s="359"/>
    </row>
    <row r="719" spans="8:8" s="261" customFormat="1" x14ac:dyDescent="0.25">
      <c r="H719" s="359"/>
    </row>
    <row r="720" spans="8:8" s="261" customFormat="1" x14ac:dyDescent="0.25">
      <c r="H720" s="359"/>
    </row>
    <row r="721" spans="8:8" s="261" customFormat="1" x14ac:dyDescent="0.25">
      <c r="H721" s="359"/>
    </row>
    <row r="722" spans="8:8" s="261" customFormat="1" x14ac:dyDescent="0.25">
      <c r="H722" s="359"/>
    </row>
    <row r="723" spans="8:8" s="261" customFormat="1" x14ac:dyDescent="0.25">
      <c r="H723" s="359"/>
    </row>
    <row r="724" spans="8:8" s="261" customFormat="1" x14ac:dyDescent="0.25">
      <c r="H724" s="359"/>
    </row>
    <row r="725" spans="8:8" s="261" customFormat="1" x14ac:dyDescent="0.25">
      <c r="H725" s="359"/>
    </row>
    <row r="726" spans="8:8" s="261" customFormat="1" x14ac:dyDescent="0.25">
      <c r="H726" s="359"/>
    </row>
    <row r="727" spans="8:8" s="261" customFormat="1" x14ac:dyDescent="0.25">
      <c r="H727" s="359"/>
    </row>
    <row r="728" spans="8:8" s="261" customFormat="1" x14ac:dyDescent="0.25">
      <c r="H728" s="359"/>
    </row>
    <row r="729" spans="8:8" s="261" customFormat="1" x14ac:dyDescent="0.25">
      <c r="H729" s="359"/>
    </row>
    <row r="730" spans="8:8" s="261" customFormat="1" x14ac:dyDescent="0.25">
      <c r="H730" s="359"/>
    </row>
    <row r="731" spans="8:8" s="261" customFormat="1" x14ac:dyDescent="0.25">
      <c r="H731" s="359"/>
    </row>
    <row r="732" spans="8:8" s="261" customFormat="1" x14ac:dyDescent="0.25">
      <c r="H732" s="359"/>
    </row>
    <row r="733" spans="8:8" s="261" customFormat="1" x14ac:dyDescent="0.25">
      <c r="H733" s="359"/>
    </row>
    <row r="734" spans="8:8" s="261" customFormat="1" x14ac:dyDescent="0.25">
      <c r="H734" s="359"/>
    </row>
    <row r="735" spans="8:8" s="261" customFormat="1" x14ac:dyDescent="0.25">
      <c r="H735" s="359"/>
    </row>
    <row r="736" spans="8:8" s="261" customFormat="1" x14ac:dyDescent="0.25">
      <c r="H736" s="359"/>
    </row>
    <row r="737" spans="8:8" s="261" customFormat="1" x14ac:dyDescent="0.25">
      <c r="H737" s="359"/>
    </row>
    <row r="738" spans="8:8" s="261" customFormat="1" x14ac:dyDescent="0.25">
      <c r="H738" s="359"/>
    </row>
    <row r="739" spans="8:8" s="261" customFormat="1" x14ac:dyDescent="0.25">
      <c r="H739" s="359"/>
    </row>
    <row r="740" spans="8:8" s="261" customFormat="1" x14ac:dyDescent="0.25">
      <c r="H740" s="359"/>
    </row>
    <row r="741" spans="8:8" s="261" customFormat="1" x14ac:dyDescent="0.25">
      <c r="H741" s="359"/>
    </row>
    <row r="742" spans="8:8" s="261" customFormat="1" x14ac:dyDescent="0.25">
      <c r="H742" s="359"/>
    </row>
    <row r="743" spans="8:8" s="261" customFormat="1" x14ac:dyDescent="0.25">
      <c r="H743" s="359"/>
    </row>
    <row r="744" spans="8:8" s="261" customFormat="1" x14ac:dyDescent="0.25">
      <c r="H744" s="359"/>
    </row>
    <row r="745" spans="8:8" s="261" customFormat="1" x14ac:dyDescent="0.25">
      <c r="H745" s="359"/>
    </row>
    <row r="746" spans="8:8" s="261" customFormat="1" x14ac:dyDescent="0.25">
      <c r="H746" s="359"/>
    </row>
    <row r="747" spans="8:8" s="261" customFormat="1" x14ac:dyDescent="0.25">
      <c r="H747" s="359"/>
    </row>
    <row r="748" spans="8:8" s="261" customFormat="1" x14ac:dyDescent="0.25">
      <c r="H748" s="359"/>
    </row>
    <row r="749" spans="8:8" s="261" customFormat="1" x14ac:dyDescent="0.25">
      <c r="H749" s="359"/>
    </row>
    <row r="750" spans="8:8" s="261" customFormat="1" x14ac:dyDescent="0.25">
      <c r="H750" s="359"/>
    </row>
    <row r="751" spans="8:8" s="261" customFormat="1" x14ac:dyDescent="0.25">
      <c r="H751" s="359"/>
    </row>
    <row r="752" spans="8:8" s="261" customFormat="1" x14ac:dyDescent="0.25">
      <c r="H752" s="359"/>
    </row>
    <row r="753" spans="8:8" s="261" customFormat="1" x14ac:dyDescent="0.25">
      <c r="H753" s="359"/>
    </row>
    <row r="754" spans="8:8" s="261" customFormat="1" x14ac:dyDescent="0.25">
      <c r="H754" s="359"/>
    </row>
    <row r="755" spans="8:8" s="261" customFormat="1" x14ac:dyDescent="0.25">
      <c r="H755" s="359"/>
    </row>
    <row r="756" spans="8:8" s="261" customFormat="1" x14ac:dyDescent="0.25">
      <c r="H756" s="359"/>
    </row>
    <row r="757" spans="8:8" s="261" customFormat="1" x14ac:dyDescent="0.25">
      <c r="H757" s="359"/>
    </row>
    <row r="758" spans="8:8" s="261" customFormat="1" x14ac:dyDescent="0.25">
      <c r="H758" s="359"/>
    </row>
    <row r="759" spans="8:8" s="261" customFormat="1" x14ac:dyDescent="0.25">
      <c r="H759" s="359"/>
    </row>
    <row r="760" spans="8:8" s="261" customFormat="1" x14ac:dyDescent="0.25">
      <c r="H760" s="359"/>
    </row>
    <row r="761" spans="8:8" s="261" customFormat="1" x14ac:dyDescent="0.25">
      <c r="H761" s="359"/>
    </row>
    <row r="762" spans="8:8" s="261" customFormat="1" x14ac:dyDescent="0.25">
      <c r="H762" s="359"/>
    </row>
    <row r="763" spans="8:8" s="261" customFormat="1" x14ac:dyDescent="0.25">
      <c r="H763" s="359"/>
    </row>
    <row r="764" spans="8:8" s="261" customFormat="1" x14ac:dyDescent="0.25">
      <c r="H764" s="359"/>
    </row>
    <row r="765" spans="8:8" s="261" customFormat="1" x14ac:dyDescent="0.25">
      <c r="H765" s="359"/>
    </row>
    <row r="766" spans="8:8" s="261" customFormat="1" x14ac:dyDescent="0.25">
      <c r="H766" s="359"/>
    </row>
    <row r="767" spans="8:8" s="261" customFormat="1" x14ac:dyDescent="0.25">
      <c r="H767" s="359"/>
    </row>
    <row r="768" spans="8:8" s="261" customFormat="1" x14ac:dyDescent="0.25">
      <c r="H768" s="359"/>
    </row>
    <row r="769" spans="8:8" s="261" customFormat="1" x14ac:dyDescent="0.25">
      <c r="H769" s="359"/>
    </row>
    <row r="770" spans="8:8" s="261" customFormat="1" x14ac:dyDescent="0.25">
      <c r="H770" s="359"/>
    </row>
    <row r="771" spans="8:8" s="261" customFormat="1" x14ac:dyDescent="0.25">
      <c r="H771" s="359"/>
    </row>
    <row r="772" spans="8:8" s="261" customFormat="1" x14ac:dyDescent="0.25">
      <c r="H772" s="359"/>
    </row>
    <row r="773" spans="8:8" s="261" customFormat="1" x14ac:dyDescent="0.25">
      <c r="H773" s="359"/>
    </row>
    <row r="774" spans="8:8" s="261" customFormat="1" x14ac:dyDescent="0.25">
      <c r="H774" s="359"/>
    </row>
    <row r="775" spans="8:8" s="261" customFormat="1" x14ac:dyDescent="0.25">
      <c r="H775" s="359"/>
    </row>
    <row r="776" spans="8:8" s="261" customFormat="1" x14ac:dyDescent="0.25">
      <c r="H776" s="359"/>
    </row>
    <row r="777" spans="8:8" s="261" customFormat="1" x14ac:dyDescent="0.25">
      <c r="H777" s="359"/>
    </row>
    <row r="778" spans="8:8" s="261" customFormat="1" x14ac:dyDescent="0.25">
      <c r="H778" s="359"/>
    </row>
    <row r="779" spans="8:8" s="261" customFormat="1" x14ac:dyDescent="0.25">
      <c r="H779" s="359"/>
    </row>
    <row r="780" spans="8:8" s="261" customFormat="1" x14ac:dyDescent="0.25">
      <c r="H780" s="359"/>
    </row>
    <row r="781" spans="8:8" s="261" customFormat="1" x14ac:dyDescent="0.25">
      <c r="H781" s="359"/>
    </row>
    <row r="782" spans="8:8" s="261" customFormat="1" x14ac:dyDescent="0.25">
      <c r="H782" s="359"/>
    </row>
    <row r="783" spans="8:8" s="261" customFormat="1" x14ac:dyDescent="0.25">
      <c r="H783" s="359"/>
    </row>
    <row r="784" spans="8:8" s="261" customFormat="1" x14ac:dyDescent="0.25">
      <c r="H784" s="359"/>
    </row>
    <row r="785" spans="8:8" s="261" customFormat="1" x14ac:dyDescent="0.25">
      <c r="H785" s="359"/>
    </row>
    <row r="786" spans="8:8" s="261" customFormat="1" x14ac:dyDescent="0.25">
      <c r="H786" s="359"/>
    </row>
    <row r="787" spans="8:8" s="261" customFormat="1" x14ac:dyDescent="0.25">
      <c r="H787" s="359"/>
    </row>
    <row r="788" spans="8:8" s="261" customFormat="1" x14ac:dyDescent="0.25">
      <c r="H788" s="359"/>
    </row>
    <row r="789" spans="8:8" s="261" customFormat="1" x14ac:dyDescent="0.25">
      <c r="H789" s="359"/>
    </row>
    <row r="790" spans="8:8" s="261" customFormat="1" x14ac:dyDescent="0.25">
      <c r="H790" s="359"/>
    </row>
    <row r="791" spans="8:8" s="261" customFormat="1" x14ac:dyDescent="0.25">
      <c r="H791" s="359"/>
    </row>
    <row r="792" spans="8:8" s="261" customFormat="1" x14ac:dyDescent="0.25">
      <c r="H792" s="359"/>
    </row>
    <row r="793" spans="8:8" s="261" customFormat="1" x14ac:dyDescent="0.25">
      <c r="H793" s="359"/>
    </row>
    <row r="794" spans="8:8" s="261" customFormat="1" x14ac:dyDescent="0.25">
      <c r="H794" s="359"/>
    </row>
    <row r="795" spans="8:8" s="261" customFormat="1" x14ac:dyDescent="0.25">
      <c r="H795" s="359"/>
    </row>
    <row r="796" spans="8:8" s="261" customFormat="1" x14ac:dyDescent="0.25">
      <c r="H796" s="359"/>
    </row>
    <row r="797" spans="8:8" s="261" customFormat="1" x14ac:dyDescent="0.25">
      <c r="H797" s="359"/>
    </row>
    <row r="798" spans="8:8" s="261" customFormat="1" x14ac:dyDescent="0.25">
      <c r="H798" s="359"/>
    </row>
    <row r="799" spans="8:8" s="261" customFormat="1" x14ac:dyDescent="0.25">
      <c r="H799" s="359"/>
    </row>
    <row r="800" spans="8:8" s="261" customFormat="1" x14ac:dyDescent="0.25">
      <c r="H800" s="359"/>
    </row>
    <row r="801" spans="8:8" s="261" customFormat="1" x14ac:dyDescent="0.25">
      <c r="H801" s="359"/>
    </row>
    <row r="802" spans="8:8" s="261" customFormat="1" x14ac:dyDescent="0.25">
      <c r="H802" s="359"/>
    </row>
    <row r="803" spans="8:8" s="261" customFormat="1" x14ac:dyDescent="0.25">
      <c r="H803" s="359"/>
    </row>
    <row r="804" spans="8:8" s="261" customFormat="1" x14ac:dyDescent="0.25">
      <c r="H804" s="359"/>
    </row>
    <row r="805" spans="8:8" s="261" customFormat="1" x14ac:dyDescent="0.25">
      <c r="H805" s="359"/>
    </row>
    <row r="806" spans="8:8" s="261" customFormat="1" x14ac:dyDescent="0.25">
      <c r="H806" s="359"/>
    </row>
    <row r="807" spans="8:8" s="261" customFormat="1" x14ac:dyDescent="0.25">
      <c r="H807" s="359"/>
    </row>
    <row r="808" spans="8:8" s="261" customFormat="1" x14ac:dyDescent="0.25">
      <c r="H808" s="359"/>
    </row>
    <row r="809" spans="8:8" s="261" customFormat="1" x14ac:dyDescent="0.25">
      <c r="H809" s="359"/>
    </row>
    <row r="810" spans="8:8" s="261" customFormat="1" x14ac:dyDescent="0.25">
      <c r="H810" s="359"/>
    </row>
    <row r="811" spans="8:8" s="261" customFormat="1" x14ac:dyDescent="0.25">
      <c r="H811" s="359"/>
    </row>
    <row r="812" spans="8:8" s="261" customFormat="1" x14ac:dyDescent="0.25">
      <c r="H812" s="359"/>
    </row>
    <row r="813" spans="8:8" s="261" customFormat="1" x14ac:dyDescent="0.25">
      <c r="H813" s="359"/>
    </row>
    <row r="814" spans="8:8" s="261" customFormat="1" x14ac:dyDescent="0.25">
      <c r="H814" s="359"/>
    </row>
    <row r="815" spans="8:8" s="261" customFormat="1" x14ac:dyDescent="0.25">
      <c r="H815" s="359"/>
    </row>
    <row r="816" spans="8:8" s="261" customFormat="1" x14ac:dyDescent="0.25">
      <c r="H816" s="359"/>
    </row>
    <row r="817" spans="8:8" s="261" customFormat="1" x14ac:dyDescent="0.25">
      <c r="H817" s="359"/>
    </row>
    <row r="818" spans="8:8" s="261" customFormat="1" x14ac:dyDescent="0.25">
      <c r="H818" s="359"/>
    </row>
    <row r="819" spans="8:8" s="261" customFormat="1" x14ac:dyDescent="0.25">
      <c r="H819" s="359"/>
    </row>
    <row r="820" spans="8:8" s="261" customFormat="1" x14ac:dyDescent="0.25">
      <c r="H820" s="359"/>
    </row>
    <row r="821" spans="8:8" s="261" customFormat="1" x14ac:dyDescent="0.25">
      <c r="H821" s="359"/>
    </row>
    <row r="822" spans="8:8" s="261" customFormat="1" x14ac:dyDescent="0.25">
      <c r="H822" s="359"/>
    </row>
    <row r="823" spans="8:8" s="261" customFormat="1" x14ac:dyDescent="0.25">
      <c r="H823" s="359"/>
    </row>
    <row r="824" spans="8:8" s="261" customFormat="1" x14ac:dyDescent="0.25">
      <c r="H824" s="359"/>
    </row>
    <row r="825" spans="8:8" s="261" customFormat="1" x14ac:dyDescent="0.25">
      <c r="H825" s="359"/>
    </row>
    <row r="826" spans="8:8" s="261" customFormat="1" x14ac:dyDescent="0.25">
      <c r="H826" s="359"/>
    </row>
    <row r="827" spans="8:8" s="261" customFormat="1" x14ac:dyDescent="0.25">
      <c r="H827" s="359"/>
    </row>
    <row r="828" spans="8:8" s="261" customFormat="1" x14ac:dyDescent="0.25">
      <c r="H828" s="359"/>
    </row>
    <row r="829" spans="8:8" s="261" customFormat="1" x14ac:dyDescent="0.25">
      <c r="H829" s="359"/>
    </row>
    <row r="830" spans="8:8" s="261" customFormat="1" x14ac:dyDescent="0.25">
      <c r="H830" s="359"/>
    </row>
    <row r="831" spans="8:8" s="261" customFormat="1" x14ac:dyDescent="0.25">
      <c r="H831" s="359"/>
    </row>
    <row r="832" spans="8:8" s="261" customFormat="1" x14ac:dyDescent="0.25">
      <c r="H832" s="359"/>
    </row>
    <row r="833" spans="8:8" s="261" customFormat="1" x14ac:dyDescent="0.25">
      <c r="H833" s="359"/>
    </row>
    <row r="834" spans="8:8" s="261" customFormat="1" x14ac:dyDescent="0.25">
      <c r="H834" s="359"/>
    </row>
    <row r="835" spans="8:8" s="261" customFormat="1" x14ac:dyDescent="0.25">
      <c r="H835" s="359"/>
    </row>
    <row r="836" spans="8:8" s="261" customFormat="1" x14ac:dyDescent="0.25">
      <c r="H836" s="359"/>
    </row>
    <row r="837" spans="8:8" s="261" customFormat="1" x14ac:dyDescent="0.25">
      <c r="H837" s="359"/>
    </row>
    <row r="838" spans="8:8" s="261" customFormat="1" x14ac:dyDescent="0.25">
      <c r="H838" s="359"/>
    </row>
    <row r="839" spans="8:8" s="261" customFormat="1" x14ac:dyDescent="0.25">
      <c r="H839" s="359"/>
    </row>
    <row r="840" spans="8:8" s="261" customFormat="1" x14ac:dyDescent="0.25">
      <c r="H840" s="359"/>
    </row>
    <row r="841" spans="8:8" s="261" customFormat="1" x14ac:dyDescent="0.25">
      <c r="H841" s="359"/>
    </row>
    <row r="842" spans="8:8" s="261" customFormat="1" x14ac:dyDescent="0.25">
      <c r="H842" s="359"/>
    </row>
    <row r="843" spans="8:8" s="261" customFormat="1" x14ac:dyDescent="0.25">
      <c r="H843" s="359"/>
    </row>
    <row r="844" spans="8:8" s="261" customFormat="1" x14ac:dyDescent="0.25">
      <c r="H844" s="359"/>
    </row>
    <row r="845" spans="8:8" s="261" customFormat="1" x14ac:dyDescent="0.25">
      <c r="H845" s="359"/>
    </row>
    <row r="846" spans="8:8" s="261" customFormat="1" x14ac:dyDescent="0.25">
      <c r="H846" s="359"/>
    </row>
    <row r="847" spans="8:8" s="261" customFormat="1" x14ac:dyDescent="0.25">
      <c r="H847" s="359"/>
    </row>
    <row r="848" spans="8:8" s="261" customFormat="1" x14ac:dyDescent="0.25">
      <c r="H848" s="359"/>
    </row>
    <row r="849" spans="8:8" s="261" customFormat="1" x14ac:dyDescent="0.25">
      <c r="H849" s="359"/>
    </row>
    <row r="850" spans="8:8" s="261" customFormat="1" x14ac:dyDescent="0.25">
      <c r="H850" s="359"/>
    </row>
    <row r="851" spans="8:8" s="261" customFormat="1" x14ac:dyDescent="0.25">
      <c r="H851" s="359"/>
    </row>
    <row r="852" spans="8:8" s="261" customFormat="1" x14ac:dyDescent="0.25">
      <c r="H852" s="359"/>
    </row>
    <row r="853" spans="8:8" s="261" customFormat="1" x14ac:dyDescent="0.25">
      <c r="H853" s="359"/>
    </row>
    <row r="854" spans="8:8" s="261" customFormat="1" x14ac:dyDescent="0.25">
      <c r="H854" s="359"/>
    </row>
    <row r="855" spans="8:8" s="261" customFormat="1" x14ac:dyDescent="0.25">
      <c r="H855" s="359"/>
    </row>
    <row r="856" spans="8:8" s="261" customFormat="1" x14ac:dyDescent="0.25">
      <c r="H856" s="359"/>
    </row>
    <row r="857" spans="8:8" s="261" customFormat="1" x14ac:dyDescent="0.25">
      <c r="H857" s="359"/>
    </row>
    <row r="858" spans="8:8" s="261" customFormat="1" x14ac:dyDescent="0.25">
      <c r="H858" s="359"/>
    </row>
    <row r="859" spans="8:8" s="261" customFormat="1" x14ac:dyDescent="0.25">
      <c r="H859" s="359"/>
    </row>
    <row r="860" spans="8:8" s="261" customFormat="1" x14ac:dyDescent="0.25">
      <c r="H860" s="359"/>
    </row>
    <row r="861" spans="8:8" s="261" customFormat="1" x14ac:dyDescent="0.25">
      <c r="H861" s="359"/>
    </row>
    <row r="862" spans="8:8" s="261" customFormat="1" x14ac:dyDescent="0.25">
      <c r="H862" s="359"/>
    </row>
    <row r="863" spans="8:8" s="261" customFormat="1" x14ac:dyDescent="0.25">
      <c r="H863" s="359"/>
    </row>
    <row r="864" spans="8:8" s="261" customFormat="1" x14ac:dyDescent="0.25">
      <c r="H864" s="359"/>
    </row>
    <row r="865" spans="8:8" s="261" customFormat="1" x14ac:dyDescent="0.25">
      <c r="H865" s="359"/>
    </row>
    <row r="866" spans="8:8" s="261" customFormat="1" x14ac:dyDescent="0.25">
      <c r="H866" s="359"/>
    </row>
    <row r="867" spans="8:8" s="261" customFormat="1" x14ac:dyDescent="0.25">
      <c r="H867" s="359"/>
    </row>
    <row r="868" spans="8:8" s="261" customFormat="1" x14ac:dyDescent="0.25">
      <c r="H868" s="359"/>
    </row>
    <row r="869" spans="8:8" s="261" customFormat="1" x14ac:dyDescent="0.25">
      <c r="H869" s="359"/>
    </row>
    <row r="870" spans="8:8" s="261" customFormat="1" x14ac:dyDescent="0.25">
      <c r="H870" s="359"/>
    </row>
    <row r="871" spans="8:8" s="261" customFormat="1" x14ac:dyDescent="0.25">
      <c r="H871" s="359"/>
    </row>
    <row r="872" spans="8:8" s="261" customFormat="1" x14ac:dyDescent="0.25">
      <c r="H872" s="359"/>
    </row>
    <row r="873" spans="8:8" s="261" customFormat="1" x14ac:dyDescent="0.25">
      <c r="H873" s="359"/>
    </row>
    <row r="874" spans="8:8" s="261" customFormat="1" x14ac:dyDescent="0.25">
      <c r="H874" s="359"/>
    </row>
    <row r="875" spans="8:8" s="261" customFormat="1" x14ac:dyDescent="0.25">
      <c r="H875" s="359"/>
    </row>
    <row r="876" spans="8:8" s="261" customFormat="1" x14ac:dyDescent="0.25">
      <c r="H876" s="359"/>
    </row>
    <row r="877" spans="8:8" s="261" customFormat="1" x14ac:dyDescent="0.25">
      <c r="H877" s="359"/>
    </row>
    <row r="878" spans="8:8" s="261" customFormat="1" x14ac:dyDescent="0.25">
      <c r="H878" s="359"/>
    </row>
    <row r="879" spans="8:8" s="261" customFormat="1" x14ac:dyDescent="0.25">
      <c r="H879" s="359"/>
    </row>
    <row r="880" spans="8:8" s="261" customFormat="1" x14ac:dyDescent="0.25">
      <c r="H880" s="359"/>
    </row>
    <row r="881" spans="8:8" s="261" customFormat="1" x14ac:dyDescent="0.25">
      <c r="H881" s="359"/>
    </row>
    <row r="882" spans="8:8" s="261" customFormat="1" x14ac:dyDescent="0.25">
      <c r="H882" s="359"/>
    </row>
    <row r="883" spans="8:8" s="261" customFormat="1" x14ac:dyDescent="0.25">
      <c r="H883" s="359"/>
    </row>
    <row r="884" spans="8:8" s="261" customFormat="1" x14ac:dyDescent="0.25">
      <c r="H884" s="359"/>
    </row>
    <row r="885" spans="8:8" s="261" customFormat="1" x14ac:dyDescent="0.25">
      <c r="H885" s="359"/>
    </row>
    <row r="886" spans="8:8" s="261" customFormat="1" x14ac:dyDescent="0.25">
      <c r="H886" s="359"/>
    </row>
    <row r="887" spans="8:8" s="261" customFormat="1" x14ac:dyDescent="0.25">
      <c r="H887" s="359"/>
    </row>
    <row r="888" spans="8:8" s="261" customFormat="1" x14ac:dyDescent="0.25">
      <c r="H888" s="359"/>
    </row>
    <row r="889" spans="8:8" s="261" customFormat="1" x14ac:dyDescent="0.25">
      <c r="H889" s="359"/>
    </row>
    <row r="890" spans="8:8" s="261" customFormat="1" x14ac:dyDescent="0.25">
      <c r="H890" s="359"/>
    </row>
    <row r="891" spans="8:8" s="261" customFormat="1" x14ac:dyDescent="0.25">
      <c r="H891" s="359"/>
    </row>
    <row r="892" spans="8:8" s="261" customFormat="1" x14ac:dyDescent="0.25">
      <c r="H892" s="359"/>
    </row>
    <row r="893" spans="8:8" s="261" customFormat="1" x14ac:dyDescent="0.25">
      <c r="H893" s="359"/>
    </row>
    <row r="894" spans="8:8" s="261" customFormat="1" x14ac:dyDescent="0.25">
      <c r="H894" s="359"/>
    </row>
    <row r="895" spans="8:8" s="261" customFormat="1" x14ac:dyDescent="0.25">
      <c r="H895" s="359"/>
    </row>
    <row r="896" spans="8:8" s="261" customFormat="1" x14ac:dyDescent="0.25">
      <c r="H896" s="359"/>
    </row>
    <row r="897" spans="8:8" s="261" customFormat="1" x14ac:dyDescent="0.25">
      <c r="H897" s="359"/>
    </row>
    <row r="898" spans="8:8" s="261" customFormat="1" x14ac:dyDescent="0.25">
      <c r="H898" s="359"/>
    </row>
    <row r="899" spans="8:8" s="261" customFormat="1" x14ac:dyDescent="0.25">
      <c r="H899" s="359"/>
    </row>
    <row r="900" spans="8:8" s="261" customFormat="1" x14ac:dyDescent="0.25">
      <c r="H900" s="359"/>
    </row>
    <row r="901" spans="8:8" s="261" customFormat="1" x14ac:dyDescent="0.25">
      <c r="H901" s="359"/>
    </row>
    <row r="902" spans="8:8" s="261" customFormat="1" x14ac:dyDescent="0.25">
      <c r="H902" s="359"/>
    </row>
    <row r="903" spans="8:8" s="261" customFormat="1" x14ac:dyDescent="0.25">
      <c r="H903" s="359"/>
    </row>
    <row r="904" spans="8:8" s="261" customFormat="1" x14ac:dyDescent="0.25">
      <c r="H904" s="359"/>
    </row>
    <row r="905" spans="8:8" s="261" customFormat="1" x14ac:dyDescent="0.25">
      <c r="H905" s="359"/>
    </row>
    <row r="906" spans="8:8" s="261" customFormat="1" x14ac:dyDescent="0.25">
      <c r="H906" s="359"/>
    </row>
    <row r="907" spans="8:8" s="261" customFormat="1" x14ac:dyDescent="0.25">
      <c r="H907" s="359"/>
    </row>
    <row r="908" spans="8:8" s="261" customFormat="1" x14ac:dyDescent="0.25">
      <c r="H908" s="359"/>
    </row>
    <row r="909" spans="8:8" s="261" customFormat="1" x14ac:dyDescent="0.25">
      <c r="H909" s="359"/>
    </row>
    <row r="910" spans="8:8" s="261" customFormat="1" x14ac:dyDescent="0.25">
      <c r="H910" s="359"/>
    </row>
    <row r="911" spans="8:8" s="261" customFormat="1" x14ac:dyDescent="0.25">
      <c r="H911" s="359"/>
    </row>
    <row r="912" spans="8:8" s="261" customFormat="1" x14ac:dyDescent="0.25">
      <c r="H912" s="359"/>
    </row>
    <row r="913" spans="8:8" s="261" customFormat="1" x14ac:dyDescent="0.25">
      <c r="H913" s="359"/>
    </row>
    <row r="914" spans="8:8" s="261" customFormat="1" x14ac:dyDescent="0.25">
      <c r="H914" s="359"/>
    </row>
    <row r="915" spans="8:8" s="261" customFormat="1" x14ac:dyDescent="0.25">
      <c r="H915" s="359"/>
    </row>
    <row r="916" spans="8:8" s="261" customFormat="1" x14ac:dyDescent="0.25">
      <c r="H916" s="359"/>
    </row>
    <row r="917" spans="8:8" s="261" customFormat="1" x14ac:dyDescent="0.25">
      <c r="H917" s="359"/>
    </row>
    <row r="918" spans="8:8" s="261" customFormat="1" x14ac:dyDescent="0.25">
      <c r="H918" s="359"/>
    </row>
    <row r="919" spans="8:8" s="261" customFormat="1" x14ac:dyDescent="0.25">
      <c r="H919" s="359"/>
    </row>
    <row r="920" spans="8:8" s="261" customFormat="1" x14ac:dyDescent="0.25">
      <c r="H920" s="359"/>
    </row>
    <row r="921" spans="8:8" s="261" customFormat="1" x14ac:dyDescent="0.25">
      <c r="H921" s="359"/>
    </row>
    <row r="922" spans="8:8" s="261" customFormat="1" x14ac:dyDescent="0.25">
      <c r="H922" s="359"/>
    </row>
    <row r="923" spans="8:8" s="261" customFormat="1" x14ac:dyDescent="0.25">
      <c r="H923" s="359"/>
    </row>
    <row r="924" spans="8:8" s="261" customFormat="1" x14ac:dyDescent="0.25">
      <c r="H924" s="359"/>
    </row>
    <row r="925" spans="8:8" s="261" customFormat="1" x14ac:dyDescent="0.25">
      <c r="H925" s="359"/>
    </row>
    <row r="926" spans="8:8" s="261" customFormat="1" x14ac:dyDescent="0.25">
      <c r="H926" s="359"/>
    </row>
    <row r="927" spans="8:8" s="261" customFormat="1" x14ac:dyDescent="0.25">
      <c r="H927" s="359"/>
    </row>
    <row r="928" spans="8:8" s="261" customFormat="1" x14ac:dyDescent="0.25">
      <c r="H928" s="359"/>
    </row>
    <row r="929" spans="8:8" s="261" customFormat="1" x14ac:dyDescent="0.25">
      <c r="H929" s="359"/>
    </row>
    <row r="930" spans="8:8" s="261" customFormat="1" x14ac:dyDescent="0.25">
      <c r="H930" s="359"/>
    </row>
    <row r="931" spans="8:8" s="261" customFormat="1" x14ac:dyDescent="0.25">
      <c r="H931" s="359"/>
    </row>
    <row r="932" spans="8:8" s="261" customFormat="1" x14ac:dyDescent="0.25">
      <c r="H932" s="359"/>
    </row>
    <row r="933" spans="8:8" s="261" customFormat="1" x14ac:dyDescent="0.25">
      <c r="H933" s="359"/>
    </row>
    <row r="934" spans="8:8" s="261" customFormat="1" x14ac:dyDescent="0.25">
      <c r="H934" s="359"/>
    </row>
    <row r="935" spans="8:8" s="261" customFormat="1" x14ac:dyDescent="0.25">
      <c r="H935" s="359"/>
    </row>
    <row r="936" spans="8:8" s="261" customFormat="1" x14ac:dyDescent="0.25">
      <c r="H936" s="359"/>
    </row>
    <row r="937" spans="8:8" s="261" customFormat="1" x14ac:dyDescent="0.25">
      <c r="H937" s="359"/>
    </row>
    <row r="938" spans="8:8" s="261" customFormat="1" x14ac:dyDescent="0.25">
      <c r="H938" s="359"/>
    </row>
    <row r="939" spans="8:8" s="261" customFormat="1" x14ac:dyDescent="0.25">
      <c r="H939" s="359"/>
    </row>
    <row r="940" spans="8:8" s="261" customFormat="1" x14ac:dyDescent="0.25">
      <c r="H940" s="359"/>
    </row>
    <row r="941" spans="8:8" s="261" customFormat="1" x14ac:dyDescent="0.25">
      <c r="H941" s="359"/>
    </row>
    <row r="942" spans="8:8" s="261" customFormat="1" x14ac:dyDescent="0.25">
      <c r="H942" s="359"/>
    </row>
    <row r="943" spans="8:8" s="261" customFormat="1" x14ac:dyDescent="0.25">
      <c r="H943" s="359"/>
    </row>
    <row r="944" spans="8:8" s="261" customFormat="1" x14ac:dyDescent="0.25">
      <c r="H944" s="359"/>
    </row>
    <row r="945" spans="8:8" s="261" customFormat="1" x14ac:dyDescent="0.25">
      <c r="H945" s="359"/>
    </row>
    <row r="946" spans="8:8" s="261" customFormat="1" x14ac:dyDescent="0.25">
      <c r="H946" s="359"/>
    </row>
    <row r="947" spans="8:8" s="261" customFormat="1" x14ac:dyDescent="0.25">
      <c r="H947" s="359"/>
    </row>
    <row r="948" spans="8:8" s="261" customFormat="1" x14ac:dyDescent="0.25">
      <c r="H948" s="359"/>
    </row>
    <row r="949" spans="8:8" s="261" customFormat="1" x14ac:dyDescent="0.25">
      <c r="H949" s="359"/>
    </row>
    <row r="950" spans="8:8" s="261" customFormat="1" x14ac:dyDescent="0.25">
      <c r="H950" s="359"/>
    </row>
    <row r="951" spans="8:8" s="261" customFormat="1" x14ac:dyDescent="0.25">
      <c r="H951" s="359"/>
    </row>
    <row r="952" spans="8:8" s="261" customFormat="1" x14ac:dyDescent="0.25">
      <c r="H952" s="359"/>
    </row>
    <row r="953" spans="8:8" s="261" customFormat="1" x14ac:dyDescent="0.25">
      <c r="H953" s="359"/>
    </row>
    <row r="954" spans="8:8" s="261" customFormat="1" x14ac:dyDescent="0.25">
      <c r="H954" s="359"/>
    </row>
    <row r="955" spans="8:8" s="261" customFormat="1" x14ac:dyDescent="0.25">
      <c r="H955" s="359"/>
    </row>
    <row r="956" spans="8:8" s="261" customFormat="1" x14ac:dyDescent="0.25">
      <c r="H956" s="359"/>
    </row>
    <row r="957" spans="8:8" s="261" customFormat="1" x14ac:dyDescent="0.25">
      <c r="H957" s="359"/>
    </row>
    <row r="958" spans="8:8" s="261" customFormat="1" x14ac:dyDescent="0.25">
      <c r="H958" s="359"/>
    </row>
    <row r="959" spans="8:8" s="261" customFormat="1" x14ac:dyDescent="0.25">
      <c r="H959" s="359"/>
    </row>
    <row r="960" spans="8:8" s="261" customFormat="1" x14ac:dyDescent="0.25">
      <c r="H960" s="359"/>
    </row>
    <row r="961" spans="8:8" s="261" customFormat="1" x14ac:dyDescent="0.25">
      <c r="H961" s="359"/>
    </row>
    <row r="962" spans="8:8" s="261" customFormat="1" x14ac:dyDescent="0.25">
      <c r="H962" s="359"/>
    </row>
    <row r="963" spans="8:8" s="261" customFormat="1" x14ac:dyDescent="0.25">
      <c r="H963" s="359"/>
    </row>
    <row r="964" spans="8:8" s="261" customFormat="1" x14ac:dyDescent="0.25">
      <c r="H964" s="359"/>
    </row>
    <row r="965" spans="8:8" s="261" customFormat="1" x14ac:dyDescent="0.25">
      <c r="H965" s="359"/>
    </row>
    <row r="966" spans="8:8" s="261" customFormat="1" x14ac:dyDescent="0.25">
      <c r="H966" s="359"/>
    </row>
    <row r="967" spans="8:8" s="261" customFormat="1" x14ac:dyDescent="0.25">
      <c r="H967" s="359"/>
    </row>
    <row r="968" spans="8:8" s="261" customFormat="1" x14ac:dyDescent="0.25">
      <c r="H968" s="359"/>
    </row>
    <row r="969" spans="8:8" s="261" customFormat="1" x14ac:dyDescent="0.25">
      <c r="H969" s="359"/>
    </row>
    <row r="970" spans="8:8" s="261" customFormat="1" x14ac:dyDescent="0.25">
      <c r="H970" s="359"/>
    </row>
    <row r="971" spans="8:8" s="261" customFormat="1" x14ac:dyDescent="0.25">
      <c r="H971" s="359"/>
    </row>
    <row r="972" spans="8:8" s="261" customFormat="1" x14ac:dyDescent="0.25">
      <c r="H972" s="359"/>
    </row>
    <row r="973" spans="8:8" s="261" customFormat="1" x14ac:dyDescent="0.25">
      <c r="H973" s="359"/>
    </row>
    <row r="974" spans="8:8" s="261" customFormat="1" x14ac:dyDescent="0.25">
      <c r="H974" s="359"/>
    </row>
    <row r="975" spans="8:8" s="261" customFormat="1" x14ac:dyDescent="0.25">
      <c r="H975" s="359"/>
    </row>
    <row r="976" spans="8:8" s="261" customFormat="1" x14ac:dyDescent="0.25">
      <c r="H976" s="359"/>
    </row>
    <row r="977" spans="8:8" s="261" customFormat="1" x14ac:dyDescent="0.25">
      <c r="H977" s="359"/>
    </row>
    <row r="978" spans="8:8" s="261" customFormat="1" x14ac:dyDescent="0.25">
      <c r="H978" s="359"/>
    </row>
    <row r="979" spans="8:8" s="261" customFormat="1" x14ac:dyDescent="0.25">
      <c r="H979" s="359"/>
    </row>
    <row r="980" spans="8:8" s="261" customFormat="1" x14ac:dyDescent="0.25">
      <c r="H980" s="359"/>
    </row>
    <row r="981" spans="8:8" s="261" customFormat="1" x14ac:dyDescent="0.25">
      <c r="H981" s="359"/>
    </row>
    <row r="982" spans="8:8" s="261" customFormat="1" x14ac:dyDescent="0.25">
      <c r="H982" s="359"/>
    </row>
    <row r="983" spans="8:8" s="261" customFormat="1" x14ac:dyDescent="0.25">
      <c r="H983" s="359"/>
    </row>
    <row r="984" spans="8:8" s="261" customFormat="1" x14ac:dyDescent="0.25">
      <c r="H984" s="359"/>
    </row>
    <row r="985" spans="8:8" s="261" customFormat="1" x14ac:dyDescent="0.25">
      <c r="H985" s="359"/>
    </row>
    <row r="986" spans="8:8" s="261" customFormat="1" x14ac:dyDescent="0.25">
      <c r="H986" s="359"/>
    </row>
    <row r="987" spans="8:8" s="261" customFormat="1" x14ac:dyDescent="0.25">
      <c r="H987" s="359"/>
    </row>
    <row r="988" spans="8:8" s="261" customFormat="1" x14ac:dyDescent="0.25">
      <c r="H988" s="359"/>
    </row>
    <row r="989" spans="8:8" s="261" customFormat="1" x14ac:dyDescent="0.25">
      <c r="H989" s="359"/>
    </row>
    <row r="990" spans="8:8" s="261" customFormat="1" x14ac:dyDescent="0.25">
      <c r="H990" s="359"/>
    </row>
    <row r="991" spans="8:8" s="261" customFormat="1" x14ac:dyDescent="0.25">
      <c r="H991" s="359"/>
    </row>
    <row r="992" spans="8:8" s="261" customFormat="1" x14ac:dyDescent="0.25">
      <c r="H992" s="359"/>
    </row>
    <row r="993" spans="8:8" s="261" customFormat="1" x14ac:dyDescent="0.25">
      <c r="H993" s="359"/>
    </row>
    <row r="994" spans="8:8" s="261" customFormat="1" x14ac:dyDescent="0.25">
      <c r="H994" s="359"/>
    </row>
    <row r="995" spans="8:8" s="261" customFormat="1" x14ac:dyDescent="0.25">
      <c r="H995" s="359"/>
    </row>
    <row r="996" spans="8:8" s="261" customFormat="1" x14ac:dyDescent="0.25">
      <c r="H996" s="359"/>
    </row>
    <row r="997" spans="8:8" s="261" customFormat="1" x14ac:dyDescent="0.25">
      <c r="H997" s="359"/>
    </row>
    <row r="998" spans="8:8" s="261" customFormat="1" x14ac:dyDescent="0.25">
      <c r="H998" s="359"/>
    </row>
    <row r="999" spans="8:8" s="261" customFormat="1" x14ac:dyDescent="0.25">
      <c r="H999" s="359"/>
    </row>
    <row r="1000" spans="8:8" s="261" customFormat="1" x14ac:dyDescent="0.25">
      <c r="H1000" s="359"/>
    </row>
    <row r="1001" spans="8:8" s="261" customFormat="1" x14ac:dyDescent="0.25">
      <c r="H1001" s="359"/>
    </row>
    <row r="1002" spans="8:8" s="261" customFormat="1" x14ac:dyDescent="0.25">
      <c r="H1002" s="359"/>
    </row>
    <row r="1003" spans="8:8" s="261" customFormat="1" x14ac:dyDescent="0.25">
      <c r="H1003" s="359"/>
    </row>
    <row r="1004" spans="8:8" s="261" customFormat="1" x14ac:dyDescent="0.25">
      <c r="H1004" s="359"/>
    </row>
    <row r="1005" spans="8:8" s="261" customFormat="1" x14ac:dyDescent="0.25">
      <c r="H1005" s="359"/>
    </row>
    <row r="1006" spans="8:8" s="261" customFormat="1" x14ac:dyDescent="0.25">
      <c r="H1006" s="359"/>
    </row>
    <row r="1007" spans="8:8" s="261" customFormat="1" x14ac:dyDescent="0.25">
      <c r="H1007" s="359"/>
    </row>
    <row r="1008" spans="8:8" s="261" customFormat="1" x14ac:dyDescent="0.25">
      <c r="H1008" s="359"/>
    </row>
    <row r="1009" spans="8:8" s="261" customFormat="1" x14ac:dyDescent="0.25">
      <c r="H1009" s="359"/>
    </row>
    <row r="1010" spans="8:8" s="261" customFormat="1" x14ac:dyDescent="0.25">
      <c r="H1010" s="359"/>
    </row>
    <row r="1011" spans="8:8" s="261" customFormat="1" x14ac:dyDescent="0.25">
      <c r="H1011" s="359"/>
    </row>
    <row r="1012" spans="8:8" s="261" customFormat="1" x14ac:dyDescent="0.25">
      <c r="H1012" s="359"/>
    </row>
    <row r="1013" spans="8:8" s="261" customFormat="1" x14ac:dyDescent="0.25">
      <c r="H1013" s="359"/>
    </row>
    <row r="1014" spans="8:8" s="261" customFormat="1" x14ac:dyDescent="0.25">
      <c r="H1014" s="359"/>
    </row>
    <row r="1015" spans="8:8" s="261" customFormat="1" x14ac:dyDescent="0.25">
      <c r="H1015" s="359"/>
    </row>
    <row r="1016" spans="8:8" s="261" customFormat="1" x14ac:dyDescent="0.25">
      <c r="H1016" s="359"/>
    </row>
    <row r="1017" spans="8:8" s="261" customFormat="1" x14ac:dyDescent="0.25">
      <c r="H1017" s="359"/>
    </row>
    <row r="1018" spans="8:8" s="261" customFormat="1" x14ac:dyDescent="0.25">
      <c r="H1018" s="359"/>
    </row>
    <row r="1019" spans="8:8" s="261" customFormat="1" x14ac:dyDescent="0.25">
      <c r="H1019" s="359"/>
    </row>
    <row r="1020" spans="8:8" s="261" customFormat="1" x14ac:dyDescent="0.25">
      <c r="H1020" s="359"/>
    </row>
    <row r="1021" spans="8:8" s="261" customFormat="1" x14ac:dyDescent="0.25">
      <c r="H1021" s="359"/>
    </row>
    <row r="1022" spans="8:8" s="261" customFormat="1" x14ac:dyDescent="0.25">
      <c r="H1022" s="359"/>
    </row>
    <row r="1023" spans="8:8" s="261" customFormat="1" x14ac:dyDescent="0.25">
      <c r="H1023" s="359"/>
    </row>
    <row r="1024" spans="8:8" s="261" customFormat="1" x14ac:dyDescent="0.25">
      <c r="H1024" s="359"/>
    </row>
    <row r="1025" spans="8:8" s="261" customFormat="1" x14ac:dyDescent="0.25">
      <c r="H1025" s="359"/>
    </row>
    <row r="1026" spans="8:8" s="261" customFormat="1" x14ac:dyDescent="0.25">
      <c r="H1026" s="359"/>
    </row>
    <row r="1027" spans="8:8" s="261" customFormat="1" x14ac:dyDescent="0.25">
      <c r="H1027" s="359"/>
    </row>
    <row r="1028" spans="8:8" s="261" customFormat="1" x14ac:dyDescent="0.25">
      <c r="H1028" s="359"/>
    </row>
    <row r="1029" spans="8:8" s="261" customFormat="1" x14ac:dyDescent="0.25">
      <c r="H1029" s="359"/>
    </row>
    <row r="1030" spans="8:8" s="261" customFormat="1" x14ac:dyDescent="0.25">
      <c r="H1030" s="359"/>
    </row>
    <row r="1031" spans="8:8" s="261" customFormat="1" x14ac:dyDescent="0.25">
      <c r="H1031" s="359"/>
    </row>
    <row r="1032" spans="8:8" s="261" customFormat="1" x14ac:dyDescent="0.25">
      <c r="H1032" s="359"/>
    </row>
    <row r="1033" spans="8:8" s="261" customFormat="1" x14ac:dyDescent="0.25">
      <c r="H1033" s="359"/>
    </row>
    <row r="1034" spans="8:8" s="261" customFormat="1" x14ac:dyDescent="0.25">
      <c r="H1034" s="359"/>
    </row>
    <row r="1035" spans="8:8" s="261" customFormat="1" x14ac:dyDescent="0.25">
      <c r="H1035" s="359"/>
    </row>
    <row r="1036" spans="8:8" s="261" customFormat="1" x14ac:dyDescent="0.25">
      <c r="H1036" s="359"/>
    </row>
    <row r="1037" spans="8:8" s="261" customFormat="1" x14ac:dyDescent="0.25">
      <c r="H1037" s="359"/>
    </row>
    <row r="1038" spans="8:8" s="261" customFormat="1" x14ac:dyDescent="0.25">
      <c r="H1038" s="359"/>
    </row>
    <row r="1039" spans="8:8" s="261" customFormat="1" x14ac:dyDescent="0.25">
      <c r="H1039" s="359"/>
    </row>
    <row r="1040" spans="8:8" s="261" customFormat="1" x14ac:dyDescent="0.25">
      <c r="H1040" s="359"/>
    </row>
    <row r="1041" spans="8:8" s="261" customFormat="1" x14ac:dyDescent="0.25">
      <c r="H1041" s="359"/>
    </row>
    <row r="1042" spans="8:8" s="261" customFormat="1" x14ac:dyDescent="0.25">
      <c r="H1042" s="359"/>
    </row>
    <row r="1043" spans="8:8" s="261" customFormat="1" x14ac:dyDescent="0.25">
      <c r="H1043" s="359"/>
    </row>
    <row r="1044" spans="8:8" s="261" customFormat="1" x14ac:dyDescent="0.25">
      <c r="H1044" s="359"/>
    </row>
    <row r="1045" spans="8:8" s="261" customFormat="1" x14ac:dyDescent="0.25">
      <c r="H1045" s="359"/>
    </row>
    <row r="1046" spans="8:8" s="261" customFormat="1" x14ac:dyDescent="0.25">
      <c r="H1046" s="359"/>
    </row>
    <row r="1047" spans="8:8" s="261" customFormat="1" x14ac:dyDescent="0.25">
      <c r="H1047" s="359"/>
    </row>
    <row r="1048" spans="8:8" s="261" customFormat="1" x14ac:dyDescent="0.25">
      <c r="H1048" s="359"/>
    </row>
    <row r="1049" spans="8:8" s="261" customFormat="1" x14ac:dyDescent="0.25">
      <c r="H1049" s="359"/>
    </row>
    <row r="1050" spans="8:8" s="261" customFormat="1" x14ac:dyDescent="0.25">
      <c r="H1050" s="359"/>
    </row>
    <row r="1051" spans="8:8" s="261" customFormat="1" x14ac:dyDescent="0.25">
      <c r="H1051" s="359"/>
    </row>
    <row r="1052" spans="8:8" s="261" customFormat="1" x14ac:dyDescent="0.25">
      <c r="H1052" s="359"/>
    </row>
    <row r="1053" spans="8:8" s="261" customFormat="1" x14ac:dyDescent="0.25">
      <c r="H1053" s="359"/>
    </row>
    <row r="1054" spans="8:8" s="261" customFormat="1" x14ac:dyDescent="0.25">
      <c r="H1054" s="359"/>
    </row>
    <row r="1055" spans="8:8" s="261" customFormat="1" x14ac:dyDescent="0.25">
      <c r="H1055" s="359"/>
    </row>
    <row r="1056" spans="8:8" s="261" customFormat="1" x14ac:dyDescent="0.25">
      <c r="H1056" s="359"/>
    </row>
    <row r="1057" spans="8:8" s="261" customFormat="1" x14ac:dyDescent="0.25">
      <c r="H1057" s="359"/>
    </row>
    <row r="1058" spans="8:8" s="261" customFormat="1" x14ac:dyDescent="0.25">
      <c r="H1058" s="359"/>
    </row>
    <row r="1059" spans="8:8" s="261" customFormat="1" x14ac:dyDescent="0.25">
      <c r="H1059" s="359"/>
    </row>
    <row r="1060" spans="8:8" s="261" customFormat="1" x14ac:dyDescent="0.25">
      <c r="H1060" s="359"/>
    </row>
    <row r="1061" spans="8:8" s="261" customFormat="1" x14ac:dyDescent="0.25">
      <c r="H1061" s="359"/>
    </row>
    <row r="1062" spans="8:8" s="261" customFormat="1" x14ac:dyDescent="0.25">
      <c r="H1062" s="359"/>
    </row>
    <row r="1063" spans="8:8" s="261" customFormat="1" x14ac:dyDescent="0.25">
      <c r="H1063" s="359"/>
    </row>
    <row r="1064" spans="8:8" s="261" customFormat="1" x14ac:dyDescent="0.25">
      <c r="H1064" s="359"/>
    </row>
    <row r="1065" spans="8:8" s="261" customFormat="1" x14ac:dyDescent="0.25">
      <c r="H1065" s="359"/>
    </row>
    <row r="1066" spans="8:8" s="261" customFormat="1" x14ac:dyDescent="0.25">
      <c r="H1066" s="359"/>
    </row>
    <row r="1067" spans="8:8" s="261" customFormat="1" x14ac:dyDescent="0.25">
      <c r="H1067" s="359"/>
    </row>
    <row r="1068" spans="8:8" s="261" customFormat="1" x14ac:dyDescent="0.25">
      <c r="H1068" s="359"/>
    </row>
    <row r="1069" spans="8:8" s="261" customFormat="1" x14ac:dyDescent="0.25">
      <c r="H1069" s="359"/>
    </row>
    <row r="1070" spans="8:8" s="261" customFormat="1" x14ac:dyDescent="0.25">
      <c r="H1070" s="359"/>
    </row>
    <row r="1071" spans="8:8" s="261" customFormat="1" x14ac:dyDescent="0.25">
      <c r="H1071" s="359"/>
    </row>
    <row r="1072" spans="8:8" s="261" customFormat="1" x14ac:dyDescent="0.25">
      <c r="H1072" s="359"/>
    </row>
    <row r="1073" spans="8:8" s="261" customFormat="1" x14ac:dyDescent="0.25">
      <c r="H1073" s="359"/>
    </row>
    <row r="1074" spans="8:8" s="261" customFormat="1" x14ac:dyDescent="0.25">
      <c r="H1074" s="359"/>
    </row>
    <row r="1075" spans="8:8" s="261" customFormat="1" x14ac:dyDescent="0.25">
      <c r="H1075" s="359"/>
    </row>
    <row r="1076" spans="8:8" s="261" customFormat="1" x14ac:dyDescent="0.25">
      <c r="H1076" s="359"/>
    </row>
    <row r="1077" spans="8:8" s="261" customFormat="1" x14ac:dyDescent="0.25">
      <c r="H1077" s="359"/>
    </row>
    <row r="1078" spans="8:8" s="261" customFormat="1" x14ac:dyDescent="0.25">
      <c r="H1078" s="359"/>
    </row>
    <row r="1079" spans="8:8" s="261" customFormat="1" x14ac:dyDescent="0.25">
      <c r="H1079" s="359"/>
    </row>
    <row r="1080" spans="8:8" s="261" customFormat="1" x14ac:dyDescent="0.25">
      <c r="H1080" s="359"/>
    </row>
    <row r="1081" spans="8:8" s="261" customFormat="1" x14ac:dyDescent="0.25">
      <c r="H1081" s="359"/>
    </row>
    <row r="1082" spans="8:8" s="261" customFormat="1" x14ac:dyDescent="0.25">
      <c r="H1082" s="359"/>
    </row>
    <row r="1083" spans="8:8" s="261" customFormat="1" x14ac:dyDescent="0.25">
      <c r="H1083" s="359"/>
    </row>
    <row r="1084" spans="8:8" s="261" customFormat="1" x14ac:dyDescent="0.25">
      <c r="H1084" s="359"/>
    </row>
    <row r="1085" spans="8:8" s="261" customFormat="1" x14ac:dyDescent="0.25">
      <c r="H1085" s="359"/>
    </row>
    <row r="1086" spans="8:8" s="261" customFormat="1" x14ac:dyDescent="0.25">
      <c r="H1086" s="359"/>
    </row>
    <row r="1087" spans="8:8" s="261" customFormat="1" x14ac:dyDescent="0.25">
      <c r="H1087" s="359"/>
    </row>
    <row r="1088" spans="8:8" s="261" customFormat="1" x14ac:dyDescent="0.25">
      <c r="H1088" s="359"/>
    </row>
    <row r="1089" spans="8:8" s="261" customFormat="1" x14ac:dyDescent="0.25">
      <c r="H1089" s="359"/>
    </row>
    <row r="1090" spans="8:8" s="261" customFormat="1" x14ac:dyDescent="0.25">
      <c r="H1090" s="359"/>
    </row>
    <row r="1091" spans="8:8" s="261" customFormat="1" x14ac:dyDescent="0.25">
      <c r="H1091" s="359"/>
    </row>
    <row r="1092" spans="8:8" s="261" customFormat="1" x14ac:dyDescent="0.25">
      <c r="H1092" s="359"/>
    </row>
    <row r="1093" spans="8:8" s="261" customFormat="1" x14ac:dyDescent="0.25">
      <c r="H1093" s="359"/>
    </row>
    <row r="1094" spans="8:8" s="261" customFormat="1" x14ac:dyDescent="0.25">
      <c r="H1094" s="359"/>
    </row>
    <row r="1095" spans="8:8" s="261" customFormat="1" x14ac:dyDescent="0.25">
      <c r="H1095" s="359"/>
    </row>
    <row r="1096" spans="8:8" s="261" customFormat="1" x14ac:dyDescent="0.25">
      <c r="H1096" s="359"/>
    </row>
    <row r="1097" spans="8:8" s="261" customFormat="1" x14ac:dyDescent="0.25">
      <c r="H1097" s="359"/>
    </row>
    <row r="1098" spans="8:8" s="261" customFormat="1" x14ac:dyDescent="0.25">
      <c r="H1098" s="359"/>
    </row>
    <row r="1099" spans="8:8" s="261" customFormat="1" x14ac:dyDescent="0.25">
      <c r="H1099" s="359"/>
    </row>
    <row r="1100" spans="8:8" s="261" customFormat="1" x14ac:dyDescent="0.25">
      <c r="H1100" s="359"/>
    </row>
    <row r="1101" spans="8:8" s="261" customFormat="1" x14ac:dyDescent="0.25">
      <c r="H1101" s="359"/>
    </row>
    <row r="1102" spans="8:8" s="261" customFormat="1" x14ac:dyDescent="0.25">
      <c r="H1102" s="359"/>
    </row>
    <row r="1103" spans="8:8" s="261" customFormat="1" x14ac:dyDescent="0.25">
      <c r="H1103" s="359"/>
    </row>
    <row r="1104" spans="8:8" s="261" customFormat="1" x14ac:dyDescent="0.25">
      <c r="H1104" s="359"/>
    </row>
    <row r="1105" spans="8:8" s="261" customFormat="1" x14ac:dyDescent="0.25">
      <c r="H1105" s="359"/>
    </row>
    <row r="1106" spans="8:8" s="261" customFormat="1" x14ac:dyDescent="0.25">
      <c r="H1106" s="359"/>
    </row>
    <row r="1107" spans="8:8" s="261" customFormat="1" x14ac:dyDescent="0.25">
      <c r="H1107" s="359"/>
    </row>
    <row r="1108" spans="8:8" s="261" customFormat="1" x14ac:dyDescent="0.25">
      <c r="H1108" s="359"/>
    </row>
    <row r="1109" spans="8:8" s="261" customFormat="1" x14ac:dyDescent="0.25">
      <c r="H1109" s="359"/>
    </row>
    <row r="1110" spans="8:8" s="261" customFormat="1" x14ac:dyDescent="0.25">
      <c r="H1110" s="359"/>
    </row>
    <row r="1111" spans="8:8" s="261" customFormat="1" x14ac:dyDescent="0.25">
      <c r="H1111" s="359"/>
    </row>
    <row r="1112" spans="8:8" s="261" customFormat="1" x14ac:dyDescent="0.25">
      <c r="H1112" s="359"/>
    </row>
    <row r="1113" spans="8:8" s="261" customFormat="1" x14ac:dyDescent="0.25">
      <c r="H1113" s="359"/>
    </row>
    <row r="1114" spans="8:8" s="261" customFormat="1" x14ac:dyDescent="0.25">
      <c r="H1114" s="359"/>
    </row>
    <row r="1115" spans="8:8" s="261" customFormat="1" x14ac:dyDescent="0.25">
      <c r="H1115" s="359"/>
    </row>
    <row r="1116" spans="8:8" s="261" customFormat="1" x14ac:dyDescent="0.25">
      <c r="H1116" s="359"/>
    </row>
    <row r="1117" spans="8:8" s="261" customFormat="1" x14ac:dyDescent="0.25">
      <c r="H1117" s="359"/>
    </row>
    <row r="1118" spans="8:8" s="261" customFormat="1" x14ac:dyDescent="0.25">
      <c r="H1118" s="359"/>
    </row>
    <row r="1119" spans="8:8" s="261" customFormat="1" x14ac:dyDescent="0.25">
      <c r="H1119" s="359"/>
    </row>
    <row r="1120" spans="8:8" s="261" customFormat="1" x14ac:dyDescent="0.25">
      <c r="H1120" s="359"/>
    </row>
    <row r="1121" spans="8:8" s="261" customFormat="1" x14ac:dyDescent="0.25">
      <c r="H1121" s="359"/>
    </row>
    <row r="1122" spans="8:8" s="261" customFormat="1" x14ac:dyDescent="0.25">
      <c r="H1122" s="359"/>
    </row>
    <row r="1123" spans="8:8" s="261" customFormat="1" x14ac:dyDescent="0.25">
      <c r="H1123" s="359"/>
    </row>
    <row r="1124" spans="8:8" s="261" customFormat="1" x14ac:dyDescent="0.25">
      <c r="H1124" s="359"/>
    </row>
    <row r="1125" spans="8:8" s="261" customFormat="1" x14ac:dyDescent="0.25">
      <c r="H1125" s="359"/>
    </row>
    <row r="1126" spans="8:8" s="261" customFormat="1" x14ac:dyDescent="0.25">
      <c r="H1126" s="359"/>
    </row>
    <row r="1127" spans="8:8" s="261" customFormat="1" x14ac:dyDescent="0.25">
      <c r="H1127" s="359"/>
    </row>
    <row r="1128" spans="8:8" s="261" customFormat="1" x14ac:dyDescent="0.25">
      <c r="H1128" s="359"/>
    </row>
    <row r="1129" spans="8:8" s="261" customFormat="1" x14ac:dyDescent="0.25">
      <c r="H1129" s="359"/>
    </row>
    <row r="1130" spans="8:8" s="261" customFormat="1" x14ac:dyDescent="0.25">
      <c r="H1130" s="359"/>
    </row>
    <row r="1131" spans="8:8" s="261" customFormat="1" x14ac:dyDescent="0.25">
      <c r="H1131" s="359"/>
    </row>
    <row r="1132" spans="8:8" s="261" customFormat="1" x14ac:dyDescent="0.25">
      <c r="H1132" s="359"/>
    </row>
    <row r="1133" spans="8:8" s="261" customFormat="1" x14ac:dyDescent="0.25">
      <c r="H1133" s="359"/>
    </row>
    <row r="1134" spans="8:8" s="261" customFormat="1" x14ac:dyDescent="0.25">
      <c r="H1134" s="359"/>
    </row>
    <row r="1135" spans="8:8" s="261" customFormat="1" x14ac:dyDescent="0.25">
      <c r="H1135" s="359"/>
    </row>
    <row r="1136" spans="8:8" s="261" customFormat="1" x14ac:dyDescent="0.25">
      <c r="H1136" s="359"/>
    </row>
    <row r="1137" spans="8:8" s="261" customFormat="1" x14ac:dyDescent="0.25">
      <c r="H1137" s="359"/>
    </row>
    <row r="1138" spans="8:8" s="261" customFormat="1" x14ac:dyDescent="0.25">
      <c r="H1138" s="359"/>
    </row>
    <row r="1139" spans="8:8" s="261" customFormat="1" x14ac:dyDescent="0.25">
      <c r="H1139" s="359"/>
    </row>
    <row r="1140" spans="8:8" s="261" customFormat="1" x14ac:dyDescent="0.25">
      <c r="H1140" s="359"/>
    </row>
    <row r="1141" spans="8:8" s="261" customFormat="1" x14ac:dyDescent="0.25">
      <c r="H1141" s="359"/>
    </row>
    <row r="1142" spans="8:8" s="261" customFormat="1" x14ac:dyDescent="0.25">
      <c r="H1142" s="359"/>
    </row>
    <row r="1143" spans="8:8" s="261" customFormat="1" x14ac:dyDescent="0.25">
      <c r="H1143" s="359"/>
    </row>
    <row r="1144" spans="8:8" s="261" customFormat="1" x14ac:dyDescent="0.25">
      <c r="H1144" s="359"/>
    </row>
    <row r="1145" spans="8:8" s="261" customFormat="1" x14ac:dyDescent="0.25">
      <c r="H1145" s="359"/>
    </row>
    <row r="1146" spans="8:8" s="261" customFormat="1" x14ac:dyDescent="0.25">
      <c r="H1146" s="359"/>
    </row>
    <row r="1147" spans="8:8" s="261" customFormat="1" x14ac:dyDescent="0.25">
      <c r="H1147" s="359"/>
    </row>
    <row r="1148" spans="8:8" s="261" customFormat="1" x14ac:dyDescent="0.25">
      <c r="H1148" s="359"/>
    </row>
    <row r="1149" spans="8:8" s="261" customFormat="1" x14ac:dyDescent="0.25">
      <c r="H1149" s="359"/>
    </row>
    <row r="1150" spans="8:8" s="261" customFormat="1" x14ac:dyDescent="0.25">
      <c r="H1150" s="359"/>
    </row>
    <row r="1151" spans="8:8" s="261" customFormat="1" x14ac:dyDescent="0.25">
      <c r="H1151" s="359"/>
    </row>
    <row r="1152" spans="8:8" s="261" customFormat="1" x14ac:dyDescent="0.25">
      <c r="H1152" s="359"/>
    </row>
    <row r="1153" spans="8:8" s="261" customFormat="1" x14ac:dyDescent="0.25">
      <c r="H1153" s="359"/>
    </row>
    <row r="1154" spans="8:8" s="261" customFormat="1" x14ac:dyDescent="0.25">
      <c r="H1154" s="359"/>
    </row>
    <row r="1155" spans="8:8" s="261" customFormat="1" x14ac:dyDescent="0.25">
      <c r="H1155" s="359"/>
    </row>
    <row r="1156" spans="8:8" s="261" customFormat="1" x14ac:dyDescent="0.25">
      <c r="H1156" s="359"/>
    </row>
    <row r="1157" spans="8:8" s="261" customFormat="1" x14ac:dyDescent="0.25">
      <c r="H1157" s="359"/>
    </row>
    <row r="1158" spans="8:8" s="261" customFormat="1" x14ac:dyDescent="0.25">
      <c r="H1158" s="359"/>
    </row>
    <row r="1159" spans="8:8" s="261" customFormat="1" x14ac:dyDescent="0.25">
      <c r="H1159" s="359"/>
    </row>
    <row r="1160" spans="8:8" s="261" customFormat="1" x14ac:dyDescent="0.25">
      <c r="H1160" s="359"/>
    </row>
    <row r="1161" spans="8:8" s="261" customFormat="1" x14ac:dyDescent="0.25">
      <c r="H1161" s="359"/>
    </row>
    <row r="1162" spans="8:8" s="261" customFormat="1" x14ac:dyDescent="0.25">
      <c r="H1162" s="359"/>
    </row>
    <row r="1163" spans="8:8" s="261" customFormat="1" x14ac:dyDescent="0.25">
      <c r="H1163" s="359"/>
    </row>
    <row r="1164" spans="8:8" s="261" customFormat="1" x14ac:dyDescent="0.25">
      <c r="H1164" s="359"/>
    </row>
    <row r="1165" spans="8:8" s="261" customFormat="1" x14ac:dyDescent="0.25">
      <c r="H1165" s="359"/>
    </row>
    <row r="1166" spans="8:8" s="261" customFormat="1" x14ac:dyDescent="0.25">
      <c r="H1166" s="359"/>
    </row>
    <row r="1167" spans="8:8" s="261" customFormat="1" x14ac:dyDescent="0.25">
      <c r="H1167" s="359"/>
    </row>
    <row r="1168" spans="8:8" s="261" customFormat="1" x14ac:dyDescent="0.25">
      <c r="H1168" s="359"/>
    </row>
    <row r="1169" spans="8:8" s="261" customFormat="1" x14ac:dyDescent="0.25">
      <c r="H1169" s="359"/>
    </row>
    <row r="1170" spans="8:8" s="261" customFormat="1" x14ac:dyDescent="0.25">
      <c r="H1170" s="359"/>
    </row>
    <row r="1171" spans="8:8" s="261" customFormat="1" x14ac:dyDescent="0.25">
      <c r="H1171" s="359"/>
    </row>
    <row r="1172" spans="8:8" s="261" customFormat="1" x14ac:dyDescent="0.25">
      <c r="H1172" s="359"/>
    </row>
    <row r="1173" spans="8:8" s="261" customFormat="1" x14ac:dyDescent="0.25">
      <c r="H1173" s="359"/>
    </row>
    <row r="1174" spans="8:8" s="261" customFormat="1" x14ac:dyDescent="0.25">
      <c r="H1174" s="359"/>
    </row>
    <row r="1175" spans="8:8" s="261" customFormat="1" x14ac:dyDescent="0.25">
      <c r="H1175" s="359"/>
    </row>
    <row r="1176" spans="8:8" s="261" customFormat="1" x14ac:dyDescent="0.25">
      <c r="H1176" s="359"/>
    </row>
    <row r="1177" spans="8:8" s="261" customFormat="1" x14ac:dyDescent="0.25">
      <c r="H1177" s="359"/>
    </row>
    <row r="1178" spans="8:8" s="261" customFormat="1" x14ac:dyDescent="0.25">
      <c r="H1178" s="359"/>
    </row>
    <row r="1179" spans="8:8" s="261" customFormat="1" x14ac:dyDescent="0.25">
      <c r="H1179" s="359"/>
    </row>
    <row r="1180" spans="8:8" s="261" customFormat="1" x14ac:dyDescent="0.25">
      <c r="H1180" s="359"/>
    </row>
    <row r="1181" spans="8:8" s="261" customFormat="1" x14ac:dyDescent="0.25">
      <c r="H1181" s="359"/>
    </row>
    <row r="1182" spans="8:8" s="261" customFormat="1" x14ac:dyDescent="0.25">
      <c r="H1182" s="359"/>
    </row>
    <row r="1183" spans="8:8" s="261" customFormat="1" x14ac:dyDescent="0.25">
      <c r="H1183" s="359"/>
    </row>
    <row r="1184" spans="8:8" s="261" customFormat="1" x14ac:dyDescent="0.25">
      <c r="H1184" s="359"/>
    </row>
    <row r="1185" spans="8:8" s="261" customFormat="1" x14ac:dyDescent="0.25">
      <c r="H1185" s="359"/>
    </row>
    <row r="1186" spans="8:8" s="261" customFormat="1" x14ac:dyDescent="0.25">
      <c r="H1186" s="359"/>
    </row>
    <row r="1187" spans="8:8" s="261" customFormat="1" x14ac:dyDescent="0.25">
      <c r="H1187" s="359"/>
    </row>
    <row r="1188" spans="8:8" s="261" customFormat="1" x14ac:dyDescent="0.25">
      <c r="H1188" s="359"/>
    </row>
    <row r="1189" spans="8:8" s="261" customFormat="1" x14ac:dyDescent="0.25">
      <c r="H1189" s="359"/>
    </row>
    <row r="1190" spans="8:8" s="261" customFormat="1" x14ac:dyDescent="0.25">
      <c r="H1190" s="359"/>
    </row>
    <row r="1191" spans="8:8" s="261" customFormat="1" x14ac:dyDescent="0.25">
      <c r="H1191" s="359"/>
    </row>
    <row r="1192" spans="8:8" s="261" customFormat="1" x14ac:dyDescent="0.25">
      <c r="H1192" s="359"/>
    </row>
    <row r="1193" spans="8:8" s="261" customFormat="1" x14ac:dyDescent="0.25">
      <c r="H1193" s="359"/>
    </row>
    <row r="1194" spans="8:8" s="261" customFormat="1" x14ac:dyDescent="0.25">
      <c r="H1194" s="359"/>
    </row>
    <row r="1195" spans="8:8" s="261" customFormat="1" x14ac:dyDescent="0.25">
      <c r="H1195" s="359"/>
    </row>
    <row r="1196" spans="8:8" s="261" customFormat="1" x14ac:dyDescent="0.25">
      <c r="H1196" s="359"/>
    </row>
    <row r="1197" spans="8:8" s="261" customFormat="1" x14ac:dyDescent="0.25">
      <c r="H1197" s="359"/>
    </row>
    <row r="1198" spans="8:8" s="261" customFormat="1" x14ac:dyDescent="0.25">
      <c r="H1198" s="359"/>
    </row>
    <row r="1199" spans="8:8" s="261" customFormat="1" x14ac:dyDescent="0.25">
      <c r="H1199" s="359"/>
    </row>
    <row r="1200" spans="8:8" s="261" customFormat="1" x14ac:dyDescent="0.25">
      <c r="H1200" s="359"/>
    </row>
    <row r="1201" spans="8:8" s="261" customFormat="1" x14ac:dyDescent="0.25">
      <c r="H1201" s="359"/>
    </row>
    <row r="1202" spans="8:8" s="261" customFormat="1" x14ac:dyDescent="0.25">
      <c r="H1202" s="359"/>
    </row>
    <row r="1203" spans="8:8" s="261" customFormat="1" x14ac:dyDescent="0.25">
      <c r="H1203" s="359"/>
    </row>
    <row r="1204" spans="8:8" s="261" customFormat="1" x14ac:dyDescent="0.25">
      <c r="H1204" s="359"/>
    </row>
    <row r="1205" spans="8:8" s="261" customFormat="1" x14ac:dyDescent="0.25">
      <c r="H1205" s="359"/>
    </row>
    <row r="1206" spans="8:8" s="261" customFormat="1" x14ac:dyDescent="0.25">
      <c r="H1206" s="359"/>
    </row>
    <row r="1207" spans="8:8" s="261" customFormat="1" x14ac:dyDescent="0.25">
      <c r="H1207" s="359"/>
    </row>
    <row r="1208" spans="8:8" s="261" customFormat="1" x14ac:dyDescent="0.25">
      <c r="H1208" s="359"/>
    </row>
    <row r="1209" spans="8:8" s="261" customFormat="1" x14ac:dyDescent="0.25">
      <c r="H1209" s="359"/>
    </row>
    <row r="1210" spans="8:8" s="261" customFormat="1" x14ac:dyDescent="0.25">
      <c r="H1210" s="359"/>
    </row>
    <row r="1211" spans="8:8" s="261" customFormat="1" x14ac:dyDescent="0.25">
      <c r="H1211" s="359"/>
    </row>
    <row r="1212" spans="8:8" s="261" customFormat="1" x14ac:dyDescent="0.25">
      <c r="H1212" s="359"/>
    </row>
  </sheetData>
  <conditionalFormatting sqref="E3">
    <cfRule type="containsText" dxfId="78" priority="75" operator="containsText" text="No Upgrade">
      <formula>NOT(ISERROR(SEARCH("No Upgrade",E3)))</formula>
    </cfRule>
    <cfRule type="containsText" dxfId="77" priority="76" operator="containsText" text="No Upgrade">
      <formula>NOT(ISERROR(SEARCH("No Upgrade",E3)))</formula>
    </cfRule>
    <cfRule type="containsText" dxfId="76" priority="79" operator="containsText" text="Upgrade 1">
      <formula>NOT(ISERROR(SEARCH("Upgrade 1",E3)))</formula>
    </cfRule>
  </conditionalFormatting>
  <conditionalFormatting sqref="E3">
    <cfRule type="containsText" dxfId="75" priority="78" operator="containsText" text="Upgrade 2">
      <formula>NOT(ISERROR(SEARCH("Upgrade 2",E3)))</formula>
    </cfRule>
  </conditionalFormatting>
  <conditionalFormatting sqref="E3">
    <cfRule type="containsText" dxfId="74" priority="77" operator="containsText" text="Upgrade 3">
      <formula>NOT(ISERROR(SEARCH("Upgrade 3",E3)))</formula>
    </cfRule>
  </conditionalFormatting>
  <conditionalFormatting sqref="E11">
    <cfRule type="containsText" dxfId="73" priority="70" operator="containsText" text="No Upgrade">
      <formula>NOT(ISERROR(SEARCH("No Upgrade",E11)))</formula>
    </cfRule>
    <cfRule type="containsText" dxfId="72" priority="71" operator="containsText" text="No Upgrade">
      <formula>NOT(ISERROR(SEARCH("No Upgrade",E11)))</formula>
    </cfRule>
    <cfRule type="containsText" dxfId="71" priority="74" operator="containsText" text="Upgrade 1">
      <formula>NOT(ISERROR(SEARCH("Upgrade 1",E11)))</formula>
    </cfRule>
  </conditionalFormatting>
  <conditionalFormatting sqref="E11">
    <cfRule type="containsText" dxfId="70" priority="73" operator="containsText" text="Upgrade 2">
      <formula>NOT(ISERROR(SEARCH("Upgrade 2",E11)))</formula>
    </cfRule>
  </conditionalFormatting>
  <conditionalFormatting sqref="E11">
    <cfRule type="containsText" dxfId="69" priority="72" operator="containsText" text="Upgrade 3">
      <formula>NOT(ISERROR(SEARCH("Upgrade 3",E11)))</formula>
    </cfRule>
  </conditionalFormatting>
  <conditionalFormatting sqref="E11">
    <cfRule type="containsText" dxfId="68" priority="69" operator="containsText" text="Upgrade 4">
      <formula>NOT(ISERROR(SEARCH("Upgrade 4",E11)))</formula>
    </cfRule>
  </conditionalFormatting>
  <conditionalFormatting sqref="E19">
    <cfRule type="containsText" dxfId="67" priority="64" operator="containsText" text="No Upgrade">
      <formula>NOT(ISERROR(SEARCH("No Upgrade",E19)))</formula>
    </cfRule>
    <cfRule type="containsText" dxfId="66" priority="65" operator="containsText" text="No Upgrade">
      <formula>NOT(ISERROR(SEARCH("No Upgrade",E19)))</formula>
    </cfRule>
    <cfRule type="containsText" dxfId="65" priority="68" operator="containsText" text="Upgrade 1">
      <formula>NOT(ISERROR(SEARCH("Upgrade 1",E19)))</formula>
    </cfRule>
  </conditionalFormatting>
  <conditionalFormatting sqref="E19">
    <cfRule type="containsText" dxfId="64" priority="67" operator="containsText" text="Upgrade 2">
      <formula>NOT(ISERROR(SEARCH("Upgrade 2",E19)))</formula>
    </cfRule>
  </conditionalFormatting>
  <conditionalFormatting sqref="E19">
    <cfRule type="containsText" dxfId="63" priority="66" operator="containsText" text="Upgrade 3">
      <formula>NOT(ISERROR(SEARCH("Upgrade 3",E19)))</formula>
    </cfRule>
  </conditionalFormatting>
  <conditionalFormatting sqref="E19">
    <cfRule type="containsText" dxfId="62" priority="63" operator="containsText" text="Upgrade 4">
      <formula>NOT(ISERROR(SEARCH("Upgrade 4",E19)))</formula>
    </cfRule>
  </conditionalFormatting>
  <conditionalFormatting sqref="E19">
    <cfRule type="containsText" dxfId="61" priority="61" operator="containsText" text="Upgrade 5">
      <formula>NOT(ISERROR(SEARCH("Upgrade 5",E19)))</formula>
    </cfRule>
    <cfRule type="containsText" dxfId="60" priority="62" operator="containsText" text="Upgrade 5">
      <formula>NOT(ISERROR(SEARCH("Upgrade 5",E19)))</formula>
    </cfRule>
  </conditionalFormatting>
  <conditionalFormatting sqref="E27">
    <cfRule type="containsText" dxfId="59" priority="56" operator="containsText" text="No Upgrade">
      <formula>NOT(ISERROR(SEARCH("No Upgrade",E27)))</formula>
    </cfRule>
    <cfRule type="containsText" dxfId="58" priority="57" operator="containsText" text="No Upgrade">
      <formula>NOT(ISERROR(SEARCH("No Upgrade",E27)))</formula>
    </cfRule>
    <cfRule type="containsText" dxfId="57" priority="60" operator="containsText" text="Upgrade 1">
      <formula>NOT(ISERROR(SEARCH("Upgrade 1",E27)))</formula>
    </cfRule>
  </conditionalFormatting>
  <conditionalFormatting sqref="E27">
    <cfRule type="containsText" dxfId="56" priority="59" operator="containsText" text="Upgrade 2">
      <formula>NOT(ISERROR(SEARCH("Upgrade 2",E27)))</formula>
    </cfRule>
  </conditionalFormatting>
  <conditionalFormatting sqref="E27">
    <cfRule type="containsText" dxfId="55" priority="58" operator="containsText" text="Upgrade 3">
      <formula>NOT(ISERROR(SEARCH("Upgrade 3",E27)))</formula>
    </cfRule>
  </conditionalFormatting>
  <conditionalFormatting sqref="E27">
    <cfRule type="containsText" dxfId="54" priority="55" operator="containsText" text="Upgrade 4">
      <formula>NOT(ISERROR(SEARCH("Upgrade 4",E27)))</formula>
    </cfRule>
  </conditionalFormatting>
  <conditionalFormatting sqref="E27">
    <cfRule type="containsText" dxfId="53" priority="53" operator="containsText" text="Upgrade 5">
      <formula>NOT(ISERROR(SEARCH("Upgrade 5",E27)))</formula>
    </cfRule>
    <cfRule type="containsText" dxfId="52" priority="54" operator="containsText" text="Upgrade 5">
      <formula>NOT(ISERROR(SEARCH("Upgrade 5",E27)))</formula>
    </cfRule>
  </conditionalFormatting>
  <conditionalFormatting sqref="E35">
    <cfRule type="containsText" dxfId="51" priority="48" operator="containsText" text="No Upgrade">
      <formula>NOT(ISERROR(SEARCH("No Upgrade",E35)))</formula>
    </cfRule>
    <cfRule type="containsText" dxfId="50" priority="49" operator="containsText" text="No Upgrade">
      <formula>NOT(ISERROR(SEARCH("No Upgrade",E35)))</formula>
    </cfRule>
    <cfRule type="containsText" dxfId="49" priority="52" operator="containsText" text="Upgrade 1">
      <formula>NOT(ISERROR(SEARCH("Upgrade 1",E35)))</formula>
    </cfRule>
  </conditionalFormatting>
  <conditionalFormatting sqref="E35">
    <cfRule type="containsText" dxfId="48" priority="51" operator="containsText" text="Upgrade 2">
      <formula>NOT(ISERROR(SEARCH("Upgrade 2",E35)))</formula>
    </cfRule>
  </conditionalFormatting>
  <conditionalFormatting sqref="E35">
    <cfRule type="containsText" dxfId="47" priority="50" operator="containsText" text="Upgrade 3">
      <formula>NOT(ISERROR(SEARCH("Upgrade 3",E35)))</formula>
    </cfRule>
  </conditionalFormatting>
  <conditionalFormatting sqref="E35">
    <cfRule type="containsText" dxfId="46" priority="47" operator="containsText" text="Upgrade 4">
      <formula>NOT(ISERROR(SEARCH("Upgrade 4",E35)))</formula>
    </cfRule>
  </conditionalFormatting>
  <conditionalFormatting sqref="E35">
    <cfRule type="containsText" dxfId="45" priority="45" operator="containsText" text="Upgrade 5">
      <formula>NOT(ISERROR(SEARCH("Upgrade 5",E35)))</formula>
    </cfRule>
    <cfRule type="containsText" dxfId="44" priority="46" operator="containsText" text="Upgrade 5">
      <formula>NOT(ISERROR(SEARCH("Upgrade 5",E35)))</formula>
    </cfRule>
  </conditionalFormatting>
  <conditionalFormatting sqref="G9">
    <cfRule type="containsText" dxfId="43" priority="43" operator="containsText" text="Not required">
      <formula>NOT(ISERROR(SEARCH("Not required",G9)))</formula>
    </cfRule>
    <cfRule type="containsText" dxfId="42" priority="44" operator="containsText" text="Not Required">
      <formula>NOT(ISERROR(SEARCH("Not Required",G9)))</formula>
    </cfRule>
  </conditionalFormatting>
  <conditionalFormatting sqref="G17">
    <cfRule type="containsText" dxfId="41" priority="41" operator="containsText" text="Not required">
      <formula>NOT(ISERROR(SEARCH("Not required",G17)))</formula>
    </cfRule>
    <cfRule type="containsText" dxfId="40" priority="42" operator="containsText" text="Not Required">
      <formula>NOT(ISERROR(SEARCH("Not Required",G17)))</formula>
    </cfRule>
  </conditionalFormatting>
  <conditionalFormatting sqref="G25">
    <cfRule type="containsText" dxfId="39" priority="39" operator="containsText" text="Not required">
      <formula>NOT(ISERROR(SEARCH("Not required",G25)))</formula>
    </cfRule>
    <cfRule type="containsText" dxfId="38" priority="40" operator="containsText" text="Not Required">
      <formula>NOT(ISERROR(SEARCH("Not Required",G25)))</formula>
    </cfRule>
  </conditionalFormatting>
  <conditionalFormatting sqref="G41">
    <cfRule type="containsText" dxfId="37" priority="37" operator="containsText" text="Not required">
      <formula>NOT(ISERROR(SEARCH("Not required",G41)))</formula>
    </cfRule>
    <cfRule type="containsText" dxfId="36" priority="38" operator="containsText" text="Not Required">
      <formula>NOT(ISERROR(SEARCH("Not Required",G41)))</formula>
    </cfRule>
  </conditionalFormatting>
  <conditionalFormatting sqref="G33">
    <cfRule type="containsText" dxfId="35" priority="35" operator="containsText" text="Not required">
      <formula>NOT(ISERROR(SEARCH("Not required",G33)))</formula>
    </cfRule>
    <cfRule type="containsText" dxfId="34" priority="36" operator="containsText" text="Not Required">
      <formula>NOT(ISERROR(SEARCH("Not Required",G33)))</formula>
    </cfRule>
  </conditionalFormatting>
  <conditionalFormatting sqref="G36">
    <cfRule type="containsText" dxfId="33" priority="33" operator="containsText" text="Not required">
      <formula>NOT(ISERROR(SEARCH("Not required",G36)))</formula>
    </cfRule>
    <cfRule type="containsText" dxfId="32" priority="34" operator="containsText" text="Not Required">
      <formula>NOT(ISERROR(SEARCH("Not Required",G36)))</formula>
    </cfRule>
  </conditionalFormatting>
  <conditionalFormatting sqref="G20">
    <cfRule type="containsText" dxfId="31" priority="31" operator="containsText" text="Not required">
      <formula>NOT(ISERROR(SEARCH("Not required",G20)))</formula>
    </cfRule>
    <cfRule type="containsText" dxfId="30" priority="32" operator="containsText" text="Not Required">
      <formula>NOT(ISERROR(SEARCH("Not Required",G20)))</formula>
    </cfRule>
  </conditionalFormatting>
  <conditionalFormatting sqref="G12">
    <cfRule type="containsText" dxfId="29" priority="29" operator="containsText" text="Not required">
      <formula>NOT(ISERROR(SEARCH("Not required",G12)))</formula>
    </cfRule>
    <cfRule type="containsText" dxfId="28" priority="30" operator="containsText" text="Not Required">
      <formula>NOT(ISERROR(SEARCH("Not Required",G12)))</formula>
    </cfRule>
  </conditionalFormatting>
  <conditionalFormatting sqref="G4">
    <cfRule type="containsText" dxfId="27" priority="27" operator="containsText" text="Not required">
      <formula>NOT(ISERROR(SEARCH("Not required",G4)))</formula>
    </cfRule>
    <cfRule type="containsText" dxfId="26" priority="28" operator="containsText" text="Not Required">
      <formula>NOT(ISERROR(SEARCH("Not Required",G4)))</formula>
    </cfRule>
  </conditionalFormatting>
  <conditionalFormatting sqref="G28">
    <cfRule type="containsText" dxfId="25" priority="25" operator="containsText" text="Not required">
      <formula>NOT(ISERROR(SEARCH("Not required",G28)))</formula>
    </cfRule>
    <cfRule type="containsText" dxfId="24" priority="26" operator="containsText" text="Not Required">
      <formula>NOT(ISERROR(SEARCH("Not Required",G28)))</formula>
    </cfRule>
  </conditionalFormatting>
  <conditionalFormatting sqref="G34">
    <cfRule type="containsText" dxfId="23" priority="23" operator="containsText" text="Not required">
      <formula>NOT(ISERROR(SEARCH("Not required",G34)))</formula>
    </cfRule>
    <cfRule type="containsText" dxfId="22" priority="24" operator="containsText" text="Not Required">
      <formula>NOT(ISERROR(SEARCH("Not Required",G34)))</formula>
    </cfRule>
  </conditionalFormatting>
  <conditionalFormatting sqref="G42">
    <cfRule type="containsText" dxfId="21" priority="21" operator="containsText" text="Not required">
      <formula>NOT(ISERROR(SEARCH("Not required",G42)))</formula>
    </cfRule>
    <cfRule type="containsText" dxfId="20" priority="22" operator="containsText" text="Not Required">
      <formula>NOT(ISERROR(SEARCH("Not Required",G42)))</formula>
    </cfRule>
  </conditionalFormatting>
  <conditionalFormatting sqref="F42">
    <cfRule type="containsText" dxfId="19" priority="19" operator="containsText" text="Not required">
      <formula>NOT(ISERROR(SEARCH("Not required",F42)))</formula>
    </cfRule>
    <cfRule type="containsText" dxfId="18" priority="20" operator="containsText" text="Not Required">
      <formula>NOT(ISERROR(SEARCH("Not Required",F42)))</formula>
    </cfRule>
  </conditionalFormatting>
  <conditionalFormatting sqref="F41">
    <cfRule type="containsText" dxfId="17" priority="17" operator="containsText" text="Not required">
      <formula>NOT(ISERROR(SEARCH("Not required",F41)))</formula>
    </cfRule>
    <cfRule type="containsText" dxfId="16" priority="18" operator="containsText" text="Not Required">
      <formula>NOT(ISERROR(SEARCH("Not Required",F41)))</formula>
    </cfRule>
  </conditionalFormatting>
  <conditionalFormatting sqref="F34">
    <cfRule type="containsText" dxfId="15" priority="15" operator="containsText" text="Not required">
      <formula>NOT(ISERROR(SEARCH("Not required",F34)))</formula>
    </cfRule>
    <cfRule type="containsText" dxfId="14" priority="16" operator="containsText" text="Not Required">
      <formula>NOT(ISERROR(SEARCH("Not Required",F34)))</formula>
    </cfRule>
  </conditionalFormatting>
  <conditionalFormatting sqref="F33">
    <cfRule type="containsText" dxfId="13" priority="13" operator="containsText" text="Not required">
      <formula>NOT(ISERROR(SEARCH("Not required",F33)))</formula>
    </cfRule>
    <cfRule type="containsText" dxfId="12" priority="14" operator="containsText" text="Not Required">
      <formula>NOT(ISERROR(SEARCH("Not Required",F33)))</formula>
    </cfRule>
  </conditionalFormatting>
  <conditionalFormatting sqref="G26">
    <cfRule type="containsText" dxfId="11" priority="11" operator="containsText" text="Not required">
      <formula>NOT(ISERROR(SEARCH("Not required",G26)))</formula>
    </cfRule>
    <cfRule type="containsText" dxfId="10" priority="12" operator="containsText" text="Not Required">
      <formula>NOT(ISERROR(SEARCH("Not Required",G26)))</formula>
    </cfRule>
  </conditionalFormatting>
  <conditionalFormatting sqref="F26">
    <cfRule type="containsText" dxfId="9" priority="9" operator="containsText" text="Not required">
      <formula>NOT(ISERROR(SEARCH("Not required",F26)))</formula>
    </cfRule>
    <cfRule type="containsText" dxfId="8" priority="10" operator="containsText" text="Not Required">
      <formula>NOT(ISERROR(SEARCH("Not Required",F26)))</formula>
    </cfRule>
  </conditionalFormatting>
  <conditionalFormatting sqref="F25">
    <cfRule type="containsText" dxfId="7" priority="7" operator="containsText" text="Not required">
      <formula>NOT(ISERROR(SEARCH("Not required",F25)))</formula>
    </cfRule>
    <cfRule type="containsText" dxfId="6" priority="8" operator="containsText" text="Not Required">
      <formula>NOT(ISERROR(SEARCH("Not Required",F25)))</formula>
    </cfRule>
  </conditionalFormatting>
  <conditionalFormatting sqref="G18">
    <cfRule type="containsText" dxfId="5" priority="5" operator="containsText" text="Not required">
      <formula>NOT(ISERROR(SEARCH("Not required",G18)))</formula>
    </cfRule>
    <cfRule type="containsText" dxfId="4" priority="6" operator="containsText" text="Not Required">
      <formula>NOT(ISERROR(SEARCH("Not Required",G18)))</formula>
    </cfRule>
  </conditionalFormatting>
  <conditionalFormatting sqref="F18">
    <cfRule type="containsText" dxfId="3" priority="3" operator="containsText" text="Not required">
      <formula>NOT(ISERROR(SEARCH("Not required",F18)))</formula>
    </cfRule>
    <cfRule type="containsText" dxfId="2" priority="4" operator="containsText" text="Not Required">
      <formula>NOT(ISERROR(SEARCH("Not Required",F18)))</formula>
    </cfRule>
  </conditionalFormatting>
  <conditionalFormatting sqref="F17">
    <cfRule type="containsText" dxfId="1" priority="1" operator="containsText" text="Not required">
      <formula>NOT(ISERROR(SEARCH("Not required",F17)))</formula>
    </cfRule>
    <cfRule type="containsText" dxfId="0" priority="2" operator="containsText" text="Not Required">
      <formula>NOT(ISERROR(SEARCH("Not Required",F17)))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Input_Data">
                <anchor moveWithCells="1" sizeWithCells="1">
                  <from>
                    <xdr:col>9</xdr:col>
                    <xdr:colOff>409575</xdr:colOff>
                    <xdr:row>3</xdr:row>
                    <xdr:rowOff>104775</xdr:rowOff>
                  </from>
                  <to>
                    <xdr:col>9</xdr:col>
                    <xdr:colOff>1952625</xdr:colOff>
                    <xdr:row>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5" name="Button 13">
              <controlPr defaultSize="0" print="0" autoFill="0" autoPict="0" macro="[0]!Cost_Elements">
                <anchor moveWithCells="1" sizeWithCells="1">
                  <from>
                    <xdr:col>9</xdr:col>
                    <xdr:colOff>409575</xdr:colOff>
                    <xdr:row>13</xdr:row>
                    <xdr:rowOff>0</xdr:rowOff>
                  </from>
                  <to>
                    <xdr:col>9</xdr:col>
                    <xdr:colOff>1971675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" r:id="rId6" name="Button 15">
              <controlPr defaultSize="0" print="0" autoFill="0" autoPict="0" macro="[0]!Calculations">
                <anchor moveWithCells="1" sizeWithCells="1">
                  <from>
                    <xdr:col>9</xdr:col>
                    <xdr:colOff>409575</xdr:colOff>
                    <xdr:row>17</xdr:row>
                    <xdr:rowOff>152400</xdr:rowOff>
                  </from>
                  <to>
                    <xdr:col>9</xdr:col>
                    <xdr:colOff>1971675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7" name="Button 16">
              <controlPr defaultSize="0" print="0" autoFill="0" autoPict="0" macro="[0]!Dashboard">
                <anchor moveWithCells="1" sizeWithCells="1">
                  <from>
                    <xdr:col>9</xdr:col>
                    <xdr:colOff>409575</xdr:colOff>
                    <xdr:row>8</xdr:row>
                    <xdr:rowOff>47625</xdr:rowOff>
                  </from>
                  <to>
                    <xdr:col>9</xdr:col>
                    <xdr:colOff>1971675</xdr:colOff>
                    <xdr:row>11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2E7C7BB2-AC8F-47B8-B15E-2385DC066FA7}">
          <x14:formula1>
            <xm:f>Calculations!$Y$3:$Y$19</xm:f>
          </x14:formula1>
          <xm:sqref>F5 F37 F29 F13 F21</xm:sqref>
        </x14:dataValidation>
        <x14:dataValidation type="list" allowBlank="1" showInputMessage="1" showErrorMessage="1" xr:uid="{97251A7A-B8DF-4FC4-BDBA-3AF0A37D9A01}">
          <x14:formula1>
            <xm:f>Calculations!$C$113:$C$119</xm:f>
          </x14:formula1>
          <xm:sqref>F6:G6 F14:G14 F22:G22 F30:G30 F38:G38</xm:sqref>
        </x14:dataValidation>
        <x14:dataValidation type="list" allowBlank="1" showInputMessage="1" showErrorMessage="1" xr:uid="{1B5F6D19-B1E6-4CFF-B4C9-D67D38AC7012}">
          <x14:formula1>
            <xm:f>Calculations!$C$140:$C$146</xm:f>
          </x14:formula1>
          <xm:sqref>F10:G10 F18:G18 F26:G26 F34:G34 F42:G42</xm:sqref>
        </x14:dataValidation>
        <x14:dataValidation type="list" allowBlank="1" showInputMessage="1" showErrorMessage="1" xr:uid="{617B10F2-47DE-45B2-A9B9-70CF6D374EF4}">
          <x14:formula1>
            <xm:f>Calculations!$C$38:$C$53</xm:f>
          </x14:formula1>
          <xm:sqref>F36 F28 F20 F12 F4</xm:sqref>
        </x14:dataValidation>
        <x14:dataValidation type="list" allowBlank="1" showInputMessage="1" showErrorMessage="1" xr:uid="{ADE9A863-F35A-4B2B-8B65-0B1762A7E0FC}">
          <x14:formula1>
            <xm:f>Calculations!$X$3:$X$19</xm:f>
          </x14:formula1>
          <xm:sqref>F7 F15 F23 F31 F39</xm:sqref>
        </x14:dataValidation>
        <x14:dataValidation type="list" allowBlank="1" showInputMessage="1" showErrorMessage="1" xr:uid="{B90AAEE6-2471-40F8-85E0-4814E111D772}">
          <x14:formula1>
            <xm:f>Calculations!$C$54:$C$111</xm:f>
          </x14:formula1>
          <xm:sqref>G4 G20 G12 G28 G36</xm:sqref>
        </x14:dataValidation>
        <x14:dataValidation type="list" allowBlank="1" showInputMessage="1" showErrorMessage="1" xr:uid="{49CFFDA8-166B-4A0F-9672-F7CB20772A66}">
          <x14:formula1>
            <xm:f>Calculations!$C$121:$C$128</xm:f>
          </x14:formula1>
          <xm:sqref>F40:G40 F32:G32 F24:G24 F16:G16 F8:G8</xm:sqref>
        </x14:dataValidation>
        <x14:dataValidation type="list" allowBlank="1" showInputMessage="1" showErrorMessage="1" xr:uid="{0A9F408E-75ED-430F-9E82-A3F8626DBC81}">
          <x14:formula1>
            <xm:f>Calculations!$C$130:$C$139</xm:f>
          </x14:formula1>
          <xm:sqref>F25:G25 F41:G41 F33:G33 F17:G17 F9:G9</xm:sqref>
        </x14:dataValidation>
        <x14:dataValidation type="list" allowBlank="1" showInputMessage="1" showErrorMessage="1" xr:uid="{A07F2ACD-7C5F-46B3-9A75-BD5FB647C8C4}">
          <x14:formula1>
            <xm:f>Calculations!$Y$3:$Y$13</xm:f>
          </x14:formula1>
          <xm:sqref>G21 G37 G5 G29 G13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4A8E62-376F-4AAB-9AF2-45A8996C6F1E}">
  <sheetPr codeName="Sheet10">
    <tabColor rgb="FF00B050"/>
  </sheetPr>
  <dimension ref="B1:Z32"/>
  <sheetViews>
    <sheetView showGridLines="0" zoomScale="120" zoomScaleNormal="120" workbookViewId="0">
      <selection activeCell="N8" sqref="N8"/>
    </sheetView>
  </sheetViews>
  <sheetFormatPr defaultColWidth="8.7109375" defaultRowHeight="15" x14ac:dyDescent="0.25"/>
  <cols>
    <col min="1" max="1" width="1.140625" style="78" customWidth="1"/>
    <col min="2" max="2" width="8.7109375" style="78"/>
    <col min="3" max="3" width="11.5703125" style="78" customWidth="1"/>
    <col min="4" max="14" width="10.28515625" style="79" customWidth="1"/>
    <col min="15" max="15" width="2.85546875" style="78" customWidth="1"/>
    <col min="16" max="24" width="6" style="78" customWidth="1"/>
    <col min="25" max="25" width="8.7109375" style="78"/>
    <col min="26" max="26" width="12.7109375" style="78" customWidth="1"/>
    <col min="27" max="16384" width="8.7109375" style="78"/>
  </cols>
  <sheetData>
    <row r="1" spans="2:26" ht="6" customHeight="1" thickBot="1" x14ac:dyDescent="0.3"/>
    <row r="2" spans="2:26" ht="36.950000000000003" customHeight="1" x14ac:dyDescent="0.25">
      <c r="B2" s="346"/>
      <c r="C2" s="347"/>
      <c r="D2" s="348"/>
      <c r="E2" s="348"/>
      <c r="F2" s="348"/>
      <c r="G2" s="348"/>
      <c r="H2" s="348"/>
      <c r="I2" s="348"/>
      <c r="J2" s="348"/>
      <c r="K2" s="348"/>
      <c r="L2" s="348"/>
      <c r="M2" s="348"/>
      <c r="N2" s="348"/>
      <c r="O2" s="349"/>
      <c r="P2" s="347"/>
      <c r="Q2" s="347"/>
      <c r="R2" s="347"/>
      <c r="S2" s="347"/>
      <c r="T2" s="347"/>
      <c r="U2" s="347"/>
      <c r="V2" s="347"/>
      <c r="W2" s="347"/>
      <c r="X2" s="350"/>
      <c r="Y2" s="288"/>
      <c r="Z2" s="289"/>
    </row>
    <row r="3" spans="2:26" s="80" customFormat="1" ht="18.600000000000001" customHeight="1" x14ac:dyDescent="0.25">
      <c r="B3" s="368" t="s">
        <v>131</v>
      </c>
      <c r="C3" s="369"/>
      <c r="D3" s="119">
        <f>'Input Data'!E22</f>
        <v>0</v>
      </c>
      <c r="E3" s="120">
        <f>'Input Data'!E23</f>
        <v>1</v>
      </c>
      <c r="F3" s="120">
        <f>'Input Data'!E24</f>
        <v>2</v>
      </c>
      <c r="G3" s="120">
        <f>'Input Data'!E25</f>
        <v>3</v>
      </c>
      <c r="H3" s="120">
        <f>'Input Data'!E26</f>
        <v>4</v>
      </c>
      <c r="I3" s="120">
        <f>'Input Data'!E27</f>
        <v>5</v>
      </c>
      <c r="J3" s="120">
        <f>'Input Data'!E28</f>
        <v>6</v>
      </c>
      <c r="K3" s="120">
        <f>'Input Data'!E29</f>
        <v>7</v>
      </c>
      <c r="L3" s="120">
        <f>'Input Data'!E30</f>
        <v>8</v>
      </c>
      <c r="M3" s="120">
        <f>'Input Data'!E31</f>
        <v>9</v>
      </c>
      <c r="N3" s="120">
        <f>'Input Data'!E32</f>
        <v>10</v>
      </c>
      <c r="O3" s="121"/>
      <c r="P3" s="388" t="s">
        <v>136</v>
      </c>
      <c r="Q3" s="389"/>
      <c r="R3" s="390"/>
      <c r="S3" s="386" t="s">
        <v>77</v>
      </c>
      <c r="T3" s="386"/>
      <c r="U3" s="387"/>
      <c r="V3" s="377" t="s">
        <v>124</v>
      </c>
      <c r="W3" s="378"/>
      <c r="X3" s="379"/>
      <c r="Y3" s="290"/>
      <c r="Z3" s="291"/>
    </row>
    <row r="4" spans="2:26" s="81" customFormat="1" ht="24.6" customHeight="1" x14ac:dyDescent="0.25">
      <c r="B4" s="372" t="s">
        <v>140</v>
      </c>
      <c r="C4" s="373"/>
      <c r="D4" s="122" t="str">
        <f>'Input Data'!F22</f>
        <v>Initial CapEx</v>
      </c>
      <c r="E4" s="122" t="str">
        <f>'Input Data'!F23</f>
        <v>No Upgrade</v>
      </c>
      <c r="F4" s="122" t="str">
        <f>'Input Data'!F24</f>
        <v>No Upgrade</v>
      </c>
      <c r="G4" s="122" t="str">
        <f>'Input Data'!F25</f>
        <v>No Upgrade</v>
      </c>
      <c r="H4" s="122" t="str">
        <f>'Input Data'!F26</f>
        <v>No Upgrade</v>
      </c>
      <c r="I4" s="122" t="str">
        <f>'Input Data'!F27</f>
        <v>No Upgrade</v>
      </c>
      <c r="J4" s="122" t="str">
        <f>'Input Data'!F28</f>
        <v>No Upgrade</v>
      </c>
      <c r="K4" s="122" t="str">
        <f>'Input Data'!F29</f>
        <v>No Upgrade</v>
      </c>
      <c r="L4" s="122" t="str">
        <f>'Input Data'!F30</f>
        <v>No Upgrade</v>
      </c>
      <c r="M4" s="122" t="str">
        <f>'Input Data'!F31</f>
        <v>Upgrade 1</v>
      </c>
      <c r="N4" s="122" t="str">
        <f>'Input Data'!F32</f>
        <v>No Upgrade</v>
      </c>
      <c r="O4" s="123"/>
      <c r="P4" s="380">
        <f>Calculations!AC11</f>
        <v>313.25973657718896</v>
      </c>
      <c r="Q4" s="381"/>
      <c r="R4" s="382"/>
      <c r="S4" s="383">
        <f>Calculations!AC13</f>
        <v>0.11612317403390437</v>
      </c>
      <c r="T4" s="384"/>
      <c r="U4" s="385"/>
      <c r="V4" s="374">
        <f>Calculations!AC12</f>
        <v>0.15662986828859449</v>
      </c>
      <c r="W4" s="375"/>
      <c r="X4" s="376"/>
      <c r="Y4" s="292"/>
      <c r="Z4" s="293"/>
    </row>
    <row r="5" spans="2:26" ht="15.75" x14ac:dyDescent="0.25">
      <c r="B5" s="370" t="s">
        <v>179</v>
      </c>
      <c r="C5" s="371"/>
      <c r="D5" s="189">
        <f>Calculations!D9</f>
        <v>101500</v>
      </c>
      <c r="E5" s="189">
        <f>HLOOKUP('Input Data'!F23,Calculations!C2:J9,8,FALSE)</f>
        <v>0</v>
      </c>
      <c r="F5" s="189">
        <f>HLOOKUP('Input Data'!F24,Calculations!C2:J9,8,FALSE)</f>
        <v>0</v>
      </c>
      <c r="G5" s="189">
        <f>HLOOKUP('Input Data'!F25,Calculations!C2:J9,8,FALSE)</f>
        <v>0</v>
      </c>
      <c r="H5" s="189">
        <f>HLOOKUP('Input Data'!F26,Calculations!C2:J9,8,FALSE)</f>
        <v>0</v>
      </c>
      <c r="I5" s="189">
        <f>HLOOKUP('Input Data'!F27,Calculations!C2:J9,8,FALSE)</f>
        <v>0</v>
      </c>
      <c r="J5" s="189">
        <f>HLOOKUP('Input Data'!F28,Calculations!C2:J9,8,FALSE)</f>
        <v>0</v>
      </c>
      <c r="K5" s="189">
        <f>HLOOKUP('Input Data'!F29,Calculations!C2:J9,8,FALSE)</f>
        <v>0</v>
      </c>
      <c r="L5" s="189">
        <f>HLOOKUP('Input Data'!F30,Calculations!C2:J9,8,FALSE)</f>
        <v>0</v>
      </c>
      <c r="M5" s="189">
        <f>HLOOKUP('Input Data'!F31,Calculations!C2:J9,8,FALSE)</f>
        <v>61800</v>
      </c>
      <c r="N5" s="189">
        <f>HLOOKUP('Input Data'!F32,Calculations!C2:J9,8,FALSE)</f>
        <v>0</v>
      </c>
      <c r="O5" s="124"/>
      <c r="P5" s="111"/>
      <c r="Q5" s="111"/>
      <c r="R5" s="111"/>
      <c r="S5" s="111"/>
      <c r="T5" s="111"/>
      <c r="U5" s="111"/>
      <c r="V5" s="111"/>
      <c r="W5" s="111"/>
      <c r="X5" s="112"/>
      <c r="Y5" s="294"/>
      <c r="Z5" s="295"/>
    </row>
    <row r="6" spans="2:26" ht="15.6" customHeight="1" x14ac:dyDescent="0.25">
      <c r="B6" s="370" t="s">
        <v>184</v>
      </c>
      <c r="C6" s="371"/>
      <c r="D6" s="190">
        <f>Calculations!M9</f>
        <v>120700</v>
      </c>
      <c r="E6" s="190">
        <f>HLOOKUP('Input Data'!F23,Calculations!$M$2:$S$9,8,FALSE)</f>
        <v>0</v>
      </c>
      <c r="F6" s="190">
        <f>HLOOKUP('Input Data'!F24,Calculations!$M$2:$S$9,8,FALSE)</f>
        <v>0</v>
      </c>
      <c r="G6" s="190">
        <f>HLOOKUP('Input Data'!F25,Calculations!$M$2:$S$9,8,FALSE)</f>
        <v>0</v>
      </c>
      <c r="H6" s="190">
        <f>HLOOKUP('Input Data'!F26,Calculations!$M$2:$S$9,8,FALSE)</f>
        <v>0</v>
      </c>
      <c r="I6" s="190">
        <f>HLOOKUP('Input Data'!F27,Calculations!$M$2:$S$9,8,FALSE)</f>
        <v>0</v>
      </c>
      <c r="J6" s="190">
        <f>HLOOKUP('Input Data'!F28,Calculations!$M$2:$S$9,8,FALSE)</f>
        <v>0</v>
      </c>
      <c r="K6" s="190">
        <f>HLOOKUP('Input Data'!F29,Calculations!$M$2:$S$9,8,FALSE)</f>
        <v>0</v>
      </c>
      <c r="L6" s="190">
        <f>HLOOKUP('Input Data'!F30,Calculations!$M$2:$S$9,8,FALSE)</f>
        <v>0</v>
      </c>
      <c r="M6" s="190">
        <f>HLOOKUP('Input Data'!F31,Calculations!$M$2:$S$9,8,FALSE)</f>
        <v>26000</v>
      </c>
      <c r="N6" s="190">
        <f>HLOOKUP('Input Data'!F32,Calculations!$M$2:$S$9,8,FALSE)</f>
        <v>0</v>
      </c>
      <c r="O6" s="124"/>
      <c r="P6" s="111"/>
      <c r="Q6" s="111"/>
      <c r="R6" s="111"/>
      <c r="S6" s="111"/>
      <c r="T6" s="111"/>
      <c r="U6" s="111"/>
      <c r="V6" s="111"/>
      <c r="W6" s="111"/>
      <c r="X6" s="112"/>
      <c r="Y6" s="294"/>
      <c r="Z6" s="295"/>
    </row>
    <row r="7" spans="2:26" ht="15.75" x14ac:dyDescent="0.25">
      <c r="B7" s="183" t="s">
        <v>151</v>
      </c>
      <c r="C7" s="184"/>
      <c r="D7" s="181">
        <v>-2000</v>
      </c>
      <c r="E7" s="181">
        <f t="shared" ref="E7:L7" si="0">E5-E6</f>
        <v>0</v>
      </c>
      <c r="F7" s="181">
        <f t="shared" si="0"/>
        <v>0</v>
      </c>
      <c r="G7" s="181">
        <f t="shared" si="0"/>
        <v>0</v>
      </c>
      <c r="H7" s="181">
        <f t="shared" si="0"/>
        <v>0</v>
      </c>
      <c r="I7" s="181">
        <f t="shared" si="0"/>
        <v>0</v>
      </c>
      <c r="J7" s="181">
        <f t="shared" si="0"/>
        <v>0</v>
      </c>
      <c r="K7" s="181">
        <f t="shared" si="0"/>
        <v>0</v>
      </c>
      <c r="L7" s="181">
        <f t="shared" si="0"/>
        <v>0</v>
      </c>
      <c r="M7" s="181">
        <v>0</v>
      </c>
      <c r="N7" s="181">
        <v>6000</v>
      </c>
      <c r="O7" s="124"/>
      <c r="P7" s="111"/>
      <c r="Q7" s="111"/>
      <c r="R7" s="111"/>
      <c r="S7" s="111"/>
      <c r="T7" s="111"/>
      <c r="U7" s="111"/>
      <c r="V7" s="111"/>
      <c r="W7" s="111"/>
      <c r="X7" s="112"/>
      <c r="Y7" s="294"/>
      <c r="Z7" s="295"/>
    </row>
    <row r="8" spans="2:26" ht="15.75" x14ac:dyDescent="0.25">
      <c r="B8" s="185" t="s">
        <v>133</v>
      </c>
      <c r="C8" s="186"/>
      <c r="D8" s="182">
        <f>D7/(1+'Input Data'!$F$4)^'Input Data'!E22</f>
        <v>-2000</v>
      </c>
      <c r="E8" s="182">
        <f>E7/(1+'Input Data'!$F$4)^'Input Data'!E23</f>
        <v>0</v>
      </c>
      <c r="F8" s="182">
        <f>F7/(1+'Input Data'!$F$4)^'Input Data'!E24</f>
        <v>0</v>
      </c>
      <c r="G8" s="182">
        <f>G7/(1+'Input Data'!$F$4)^'Input Data'!E25</f>
        <v>0</v>
      </c>
      <c r="H8" s="182">
        <f>H7/(1+'Input Data'!$F$4)^'Input Data'!E26</f>
        <v>0</v>
      </c>
      <c r="I8" s="182">
        <f>I7/(1+'Input Data'!$F$4)^'Input Data'!E27</f>
        <v>0</v>
      </c>
      <c r="J8" s="182">
        <f>J7/(1+'Input Data'!$F$4)^'Input Data'!E28</f>
        <v>0</v>
      </c>
      <c r="K8" s="182">
        <f>K7/(1+'Input Data'!$F$4)^'Input Data'!E29</f>
        <v>0</v>
      </c>
      <c r="L8" s="182">
        <f>L7/(1+'Input Data'!$F$4)^'Input Data'!E30</f>
        <v>0</v>
      </c>
      <c r="M8" s="182">
        <f>M7/(1+'Input Data'!$F$4)^'Input Data'!E31</f>
        <v>0</v>
      </c>
      <c r="N8" s="182">
        <f>N7/(1+'Input Data'!$F$4)^'Input Data'!E32</f>
        <v>2313.259736577189</v>
      </c>
      <c r="O8" s="124"/>
      <c r="P8" s="111"/>
      <c r="Q8" s="111"/>
      <c r="R8" s="111"/>
      <c r="S8" s="111"/>
      <c r="T8" s="111"/>
      <c r="U8" s="111"/>
      <c r="V8" s="111"/>
      <c r="W8" s="111"/>
      <c r="X8" s="112"/>
      <c r="Y8" s="294"/>
      <c r="Z8" s="295"/>
    </row>
    <row r="9" spans="2:26" x14ac:dyDescent="0.25">
      <c r="B9" s="113"/>
      <c r="C9" s="111"/>
      <c r="D9" s="114"/>
      <c r="E9" s="114"/>
      <c r="F9" s="114"/>
      <c r="G9" s="114"/>
      <c r="H9" s="114"/>
      <c r="I9" s="114"/>
      <c r="J9" s="114"/>
      <c r="K9" s="114"/>
      <c r="L9" s="114"/>
      <c r="M9" s="114"/>
      <c r="N9" s="114"/>
      <c r="O9" s="111"/>
      <c r="P9" s="111"/>
      <c r="Q9" s="111"/>
      <c r="R9" s="111"/>
      <c r="S9" s="111"/>
      <c r="T9" s="111"/>
      <c r="U9" s="111"/>
      <c r="V9" s="111"/>
      <c r="W9" s="111"/>
      <c r="X9" s="112"/>
      <c r="Y9" s="294"/>
      <c r="Z9" s="295"/>
    </row>
    <row r="10" spans="2:26" x14ac:dyDescent="0.25">
      <c r="B10" s="113"/>
      <c r="C10" s="111"/>
      <c r="D10" s="114"/>
      <c r="E10" s="114"/>
      <c r="F10" s="114"/>
      <c r="G10" s="114"/>
      <c r="H10" s="114"/>
      <c r="I10" s="114"/>
      <c r="J10" s="114"/>
      <c r="K10" s="114"/>
      <c r="L10" s="114"/>
      <c r="M10" s="114"/>
      <c r="N10" s="114"/>
      <c r="O10" s="111"/>
      <c r="P10" s="111"/>
      <c r="Q10" s="111"/>
      <c r="R10" s="111"/>
      <c r="S10" s="111"/>
      <c r="T10" s="111"/>
      <c r="U10" s="111"/>
      <c r="V10" s="111"/>
      <c r="W10" s="111"/>
      <c r="X10" s="112"/>
      <c r="Y10" s="294"/>
      <c r="Z10" s="295"/>
    </row>
    <row r="11" spans="2:26" x14ac:dyDescent="0.25">
      <c r="B11" s="113"/>
      <c r="C11" s="111"/>
      <c r="D11" s="114"/>
      <c r="E11" s="114"/>
      <c r="F11" s="114"/>
      <c r="G11" s="114"/>
      <c r="H11" s="114"/>
      <c r="I11" s="114"/>
      <c r="J11" s="114"/>
      <c r="K11" s="114"/>
      <c r="L11" s="114"/>
      <c r="M11" s="114"/>
      <c r="N11" s="114"/>
      <c r="O11" s="111"/>
      <c r="P11" s="111"/>
      <c r="Q11" s="111"/>
      <c r="R11" s="111"/>
      <c r="S11" s="111"/>
      <c r="T11" s="111"/>
      <c r="U11" s="111"/>
      <c r="V11" s="111"/>
      <c r="W11" s="111"/>
      <c r="X11" s="112"/>
      <c r="Y11" s="294"/>
      <c r="Z11" s="295"/>
    </row>
    <row r="12" spans="2:26" x14ac:dyDescent="0.25">
      <c r="B12" s="113"/>
      <c r="C12" s="111"/>
      <c r="D12" s="114"/>
      <c r="E12" s="114"/>
      <c r="F12" s="114"/>
      <c r="G12" s="114"/>
      <c r="H12" s="114"/>
      <c r="I12" s="114"/>
      <c r="J12" s="114"/>
      <c r="K12" s="114"/>
      <c r="L12" s="114"/>
      <c r="M12" s="114"/>
      <c r="N12" s="114"/>
      <c r="O12" s="111"/>
      <c r="P12" s="111"/>
      <c r="Q12" s="111"/>
      <c r="R12" s="111"/>
      <c r="S12" s="111"/>
      <c r="T12" s="111"/>
      <c r="U12" s="111"/>
      <c r="V12" s="111"/>
      <c r="W12" s="111"/>
      <c r="X12" s="112"/>
      <c r="Y12" s="294"/>
      <c r="Z12" s="295"/>
    </row>
    <row r="13" spans="2:26" x14ac:dyDescent="0.25">
      <c r="B13" s="113"/>
      <c r="C13" s="111"/>
      <c r="D13" s="114"/>
      <c r="E13" s="114"/>
      <c r="F13" s="114"/>
      <c r="G13" s="114"/>
      <c r="H13" s="114"/>
      <c r="I13" s="114"/>
      <c r="J13" s="114"/>
      <c r="K13" s="114"/>
      <c r="L13" s="114"/>
      <c r="M13" s="114"/>
      <c r="N13" s="114"/>
      <c r="O13" s="111"/>
      <c r="P13" s="111"/>
      <c r="Q13" s="111"/>
      <c r="R13" s="111"/>
      <c r="S13" s="111"/>
      <c r="T13" s="111"/>
      <c r="U13" s="111"/>
      <c r="V13" s="111"/>
      <c r="W13" s="111"/>
      <c r="X13" s="112"/>
      <c r="Y13" s="294"/>
      <c r="Z13" s="295"/>
    </row>
    <row r="14" spans="2:26" x14ac:dyDescent="0.25">
      <c r="B14" s="113"/>
      <c r="C14" s="111"/>
      <c r="D14" s="114"/>
      <c r="E14" s="114"/>
      <c r="F14" s="114"/>
      <c r="G14" s="114"/>
      <c r="H14" s="114"/>
      <c r="I14" s="114"/>
      <c r="J14" s="114"/>
      <c r="K14" s="114"/>
      <c r="L14" s="114"/>
      <c r="M14" s="114"/>
      <c r="N14" s="114"/>
      <c r="O14" s="111"/>
      <c r="P14" s="111"/>
      <c r="Q14" s="111"/>
      <c r="R14" s="111"/>
      <c r="S14" s="111"/>
      <c r="T14" s="111"/>
      <c r="U14" s="111"/>
      <c r="V14" s="111"/>
      <c r="W14" s="111"/>
      <c r="X14" s="112"/>
      <c r="Y14" s="294"/>
      <c r="Z14" s="295"/>
    </row>
    <row r="15" spans="2:26" x14ac:dyDescent="0.25">
      <c r="B15" s="113"/>
      <c r="C15" s="111"/>
      <c r="D15" s="114"/>
      <c r="E15" s="114"/>
      <c r="F15" s="114"/>
      <c r="G15" s="114"/>
      <c r="H15" s="114"/>
      <c r="I15" s="114"/>
      <c r="J15" s="114"/>
      <c r="K15" s="114"/>
      <c r="L15" s="114"/>
      <c r="M15" s="114"/>
      <c r="N15" s="114"/>
      <c r="O15" s="111"/>
      <c r="P15" s="111"/>
      <c r="Q15" s="111"/>
      <c r="R15" s="111"/>
      <c r="S15" s="111"/>
      <c r="T15" s="111"/>
      <c r="U15" s="111"/>
      <c r="V15" s="111"/>
      <c r="W15" s="111"/>
      <c r="X15" s="112"/>
      <c r="Y15" s="294"/>
      <c r="Z15" s="295"/>
    </row>
    <row r="16" spans="2:26" x14ac:dyDescent="0.25">
      <c r="B16" s="113"/>
      <c r="C16" s="111"/>
      <c r="D16" s="114"/>
      <c r="E16" s="114"/>
      <c r="F16" s="114"/>
      <c r="G16" s="114"/>
      <c r="H16" s="114"/>
      <c r="I16" s="114"/>
      <c r="J16" s="114"/>
      <c r="K16" s="114"/>
      <c r="L16" s="114"/>
      <c r="M16" s="114"/>
      <c r="N16" s="114"/>
      <c r="O16" s="111"/>
      <c r="P16" s="111"/>
      <c r="Q16" s="111"/>
      <c r="R16" s="111"/>
      <c r="S16" s="111"/>
      <c r="T16" s="111"/>
      <c r="U16" s="111"/>
      <c r="V16" s="111"/>
      <c r="W16" s="111"/>
      <c r="X16" s="112"/>
      <c r="Y16" s="294"/>
      <c r="Z16" s="295"/>
    </row>
    <row r="17" spans="2:26" x14ac:dyDescent="0.25">
      <c r="B17" s="113"/>
      <c r="C17" s="111"/>
      <c r="D17" s="114"/>
      <c r="E17" s="114"/>
      <c r="F17" s="114"/>
      <c r="G17" s="114"/>
      <c r="H17" s="114"/>
      <c r="I17" s="114"/>
      <c r="J17" s="114"/>
      <c r="K17" s="114"/>
      <c r="L17" s="114"/>
      <c r="M17" s="114"/>
      <c r="N17" s="114"/>
      <c r="O17" s="111"/>
      <c r="P17" s="111"/>
      <c r="Q17" s="111"/>
      <c r="R17" s="111"/>
      <c r="S17" s="111"/>
      <c r="T17" s="111"/>
      <c r="U17" s="111"/>
      <c r="V17" s="111"/>
      <c r="W17" s="111"/>
      <c r="X17" s="112"/>
      <c r="Y17" s="294"/>
      <c r="Z17" s="295"/>
    </row>
    <row r="18" spans="2:26" x14ac:dyDescent="0.25">
      <c r="B18" s="113"/>
      <c r="C18" s="111"/>
      <c r="D18" s="114"/>
      <c r="E18" s="114"/>
      <c r="F18" s="114"/>
      <c r="G18" s="114"/>
      <c r="H18" s="114"/>
      <c r="I18" s="114"/>
      <c r="J18" s="114"/>
      <c r="K18" s="114"/>
      <c r="L18" s="114"/>
      <c r="M18" s="114"/>
      <c r="N18" s="114"/>
      <c r="O18" s="111"/>
      <c r="P18" s="111"/>
      <c r="Q18" s="111"/>
      <c r="R18" s="111"/>
      <c r="S18" s="111"/>
      <c r="T18" s="111"/>
      <c r="U18" s="111"/>
      <c r="V18" s="111"/>
      <c r="W18" s="111"/>
      <c r="X18" s="112"/>
      <c r="Y18" s="294"/>
      <c r="Z18" s="295"/>
    </row>
    <row r="19" spans="2:26" x14ac:dyDescent="0.25">
      <c r="B19" s="113"/>
      <c r="C19" s="111"/>
      <c r="D19" s="114"/>
      <c r="E19" s="114"/>
      <c r="F19" s="114"/>
      <c r="G19" s="114"/>
      <c r="H19" s="114"/>
      <c r="I19" s="114"/>
      <c r="J19" s="114"/>
      <c r="K19" s="114"/>
      <c r="L19" s="114"/>
      <c r="M19" s="114"/>
      <c r="N19" s="114"/>
      <c r="O19" s="111"/>
      <c r="P19" s="111"/>
      <c r="Q19" s="111"/>
      <c r="R19" s="111"/>
      <c r="S19" s="111"/>
      <c r="T19" s="111"/>
      <c r="U19" s="111"/>
      <c r="V19" s="111"/>
      <c r="W19" s="111"/>
      <c r="X19" s="112"/>
      <c r="Y19" s="294"/>
      <c r="Z19" s="295"/>
    </row>
    <row r="20" spans="2:26" ht="15.75" thickBot="1" x14ac:dyDescent="0.3">
      <c r="B20" s="113"/>
      <c r="C20" s="111"/>
      <c r="D20" s="114"/>
      <c r="E20" s="114"/>
      <c r="F20" s="114"/>
      <c r="G20" s="114"/>
      <c r="H20" s="114"/>
      <c r="I20" s="114"/>
      <c r="J20" s="114"/>
      <c r="K20" s="114"/>
      <c r="L20" s="114"/>
      <c r="M20" s="114"/>
      <c r="N20" s="114"/>
      <c r="O20" s="111"/>
      <c r="P20" s="111"/>
      <c r="Q20" s="111"/>
      <c r="R20" s="111"/>
      <c r="S20" s="111"/>
      <c r="T20" s="111"/>
      <c r="U20" s="111"/>
      <c r="V20" s="111"/>
      <c r="W20" s="111"/>
      <c r="X20" s="112"/>
      <c r="Y20" s="294"/>
      <c r="Z20" s="295"/>
    </row>
    <row r="21" spans="2:26" x14ac:dyDescent="0.25">
      <c r="B21" s="113"/>
      <c r="C21" s="111"/>
      <c r="D21" s="114"/>
      <c r="E21" s="114"/>
      <c r="F21" s="114"/>
      <c r="G21" s="114"/>
      <c r="H21" s="114"/>
      <c r="I21" s="114"/>
      <c r="J21" s="114"/>
      <c r="K21" s="114"/>
      <c r="L21" s="114"/>
      <c r="M21" s="114"/>
      <c r="N21" s="114"/>
      <c r="O21" s="111"/>
      <c r="P21" s="111"/>
      <c r="Q21" s="111"/>
      <c r="R21" s="111"/>
      <c r="S21" s="111"/>
      <c r="T21" s="111"/>
      <c r="U21" s="111"/>
      <c r="V21" s="111"/>
      <c r="W21" s="111"/>
      <c r="X21" s="112"/>
      <c r="Y21" s="364" t="s">
        <v>210</v>
      </c>
      <c r="Z21" s="289"/>
    </row>
    <row r="22" spans="2:26" x14ac:dyDescent="0.25">
      <c r="B22" s="113"/>
      <c r="C22" s="111"/>
      <c r="D22" s="114"/>
      <c r="E22" s="114"/>
      <c r="F22" s="114"/>
      <c r="G22" s="114"/>
      <c r="H22" s="114"/>
      <c r="I22" s="114"/>
      <c r="J22" s="114"/>
      <c r="K22" s="114"/>
      <c r="L22" s="114"/>
      <c r="M22" s="114"/>
      <c r="N22" s="114"/>
      <c r="O22" s="111"/>
      <c r="P22" s="111"/>
      <c r="Q22" s="111"/>
      <c r="R22" s="111"/>
      <c r="S22" s="111"/>
      <c r="T22" s="111"/>
      <c r="U22" s="111"/>
      <c r="V22" s="111"/>
      <c r="W22" s="111"/>
      <c r="X22" s="112"/>
      <c r="Y22" s="361"/>
      <c r="Z22" s="362"/>
    </row>
    <row r="23" spans="2:26" x14ac:dyDescent="0.25">
      <c r="B23" s="113"/>
      <c r="C23" s="111"/>
      <c r="D23" s="114"/>
      <c r="E23" s="114"/>
      <c r="F23" s="114"/>
      <c r="G23" s="114"/>
      <c r="H23" s="114"/>
      <c r="I23" s="114"/>
      <c r="J23" s="114"/>
      <c r="K23" s="114"/>
      <c r="L23" s="114"/>
      <c r="M23" s="114"/>
      <c r="N23" s="114"/>
      <c r="O23" s="111"/>
      <c r="P23" s="111"/>
      <c r="Q23" s="111"/>
      <c r="R23" s="111"/>
      <c r="S23" s="111"/>
      <c r="T23" s="111"/>
      <c r="U23" s="111"/>
      <c r="V23" s="111"/>
      <c r="W23" s="111"/>
      <c r="X23" s="112"/>
      <c r="Y23" s="361" t="s">
        <v>211</v>
      </c>
      <c r="Z23" s="362"/>
    </row>
    <row r="24" spans="2:26" x14ac:dyDescent="0.25">
      <c r="B24" s="113"/>
      <c r="C24" s="111"/>
      <c r="D24" s="114"/>
      <c r="E24" s="114"/>
      <c r="F24" s="114"/>
      <c r="G24" s="114"/>
      <c r="H24" s="114"/>
      <c r="I24" s="114"/>
      <c r="J24" s="114"/>
      <c r="K24" s="114"/>
      <c r="L24" s="114"/>
      <c r="M24" s="114"/>
      <c r="N24" s="114"/>
      <c r="O24" s="111"/>
      <c r="P24" s="111"/>
      <c r="Q24" s="111"/>
      <c r="R24" s="111"/>
      <c r="S24" s="111"/>
      <c r="T24" s="111"/>
      <c r="U24" s="111"/>
      <c r="V24" s="111"/>
      <c r="W24" s="111"/>
      <c r="X24" s="112"/>
      <c r="Y24" s="363" t="s">
        <v>207</v>
      </c>
      <c r="Z24" s="295"/>
    </row>
    <row r="25" spans="2:26" x14ac:dyDescent="0.25">
      <c r="B25" s="113"/>
      <c r="C25" s="111"/>
      <c r="D25" s="114"/>
      <c r="E25" s="114"/>
      <c r="F25" s="114"/>
      <c r="G25" s="114"/>
      <c r="H25" s="114"/>
      <c r="I25" s="114"/>
      <c r="J25" s="114"/>
      <c r="K25" s="114"/>
      <c r="L25" s="114"/>
      <c r="M25" s="114"/>
      <c r="N25" s="114"/>
      <c r="O25" s="111"/>
      <c r="P25" s="111"/>
      <c r="Q25" s="111"/>
      <c r="R25" s="111"/>
      <c r="S25" s="111"/>
      <c r="T25" s="111"/>
      <c r="U25" s="111"/>
      <c r="V25" s="111"/>
      <c r="W25" s="111"/>
      <c r="X25" s="112"/>
      <c r="Y25" s="361"/>
      <c r="Z25" s="295"/>
    </row>
    <row r="26" spans="2:26" x14ac:dyDescent="0.25">
      <c r="B26" s="113"/>
      <c r="C26" s="111"/>
      <c r="D26" s="114"/>
      <c r="E26" s="114"/>
      <c r="F26" s="114"/>
      <c r="G26" s="114"/>
      <c r="H26" s="114"/>
      <c r="I26" s="114"/>
      <c r="J26" s="114"/>
      <c r="K26" s="114"/>
      <c r="L26" s="114"/>
      <c r="M26" s="114"/>
      <c r="N26" s="114"/>
      <c r="O26" s="111"/>
      <c r="P26" s="111"/>
      <c r="Q26" s="111"/>
      <c r="R26" s="111"/>
      <c r="S26" s="111"/>
      <c r="T26" s="111"/>
      <c r="U26" s="111"/>
      <c r="V26" s="111"/>
      <c r="W26" s="111"/>
      <c r="X26" s="112"/>
      <c r="Y26" s="361" t="s">
        <v>212</v>
      </c>
      <c r="Z26" s="295"/>
    </row>
    <row r="27" spans="2:26" x14ac:dyDescent="0.25">
      <c r="B27" s="113"/>
      <c r="C27" s="111"/>
      <c r="D27" s="114"/>
      <c r="E27" s="114"/>
      <c r="F27" s="114"/>
      <c r="G27" s="114"/>
      <c r="H27" s="114"/>
      <c r="I27" s="114"/>
      <c r="J27" s="114"/>
      <c r="K27" s="114"/>
      <c r="L27" s="114"/>
      <c r="M27" s="114"/>
      <c r="N27" s="114"/>
      <c r="O27" s="111"/>
      <c r="P27" s="111"/>
      <c r="Q27" s="111"/>
      <c r="R27" s="111"/>
      <c r="S27" s="111"/>
      <c r="T27" s="111"/>
      <c r="U27" s="111"/>
      <c r="V27" s="111"/>
      <c r="W27" s="111"/>
      <c r="X27" s="112"/>
      <c r="Y27" s="363" t="s">
        <v>208</v>
      </c>
      <c r="Z27" s="295"/>
    </row>
    <row r="28" spans="2:26" x14ac:dyDescent="0.25">
      <c r="B28" s="113"/>
      <c r="C28" s="111"/>
      <c r="D28" s="114"/>
      <c r="E28" s="114"/>
      <c r="F28" s="114"/>
      <c r="G28" s="114"/>
      <c r="H28" s="114"/>
      <c r="I28" s="114"/>
      <c r="J28" s="114"/>
      <c r="K28" s="114"/>
      <c r="L28" s="114"/>
      <c r="M28" s="114"/>
      <c r="N28" s="114"/>
      <c r="O28" s="111"/>
      <c r="P28" s="111"/>
      <c r="Q28" s="111"/>
      <c r="R28" s="111"/>
      <c r="S28" s="111"/>
      <c r="T28" s="111"/>
      <c r="U28" s="111"/>
      <c r="V28" s="111"/>
      <c r="W28" s="111"/>
      <c r="X28" s="112"/>
      <c r="Y28" s="363" t="s">
        <v>209</v>
      </c>
      <c r="Z28" s="295"/>
    </row>
    <row r="29" spans="2:26" x14ac:dyDescent="0.25">
      <c r="B29" s="113"/>
      <c r="C29" s="111"/>
      <c r="D29" s="114"/>
      <c r="E29" s="114"/>
      <c r="F29" s="114"/>
      <c r="G29" s="114"/>
      <c r="H29" s="114"/>
      <c r="I29" s="114"/>
      <c r="J29" s="114"/>
      <c r="K29" s="114"/>
      <c r="L29" s="114"/>
      <c r="M29" s="114"/>
      <c r="N29" s="114"/>
      <c r="O29" s="111"/>
      <c r="P29" s="111"/>
      <c r="Q29" s="111"/>
      <c r="R29" s="111"/>
      <c r="S29" s="111"/>
      <c r="T29" s="111"/>
      <c r="U29" s="111"/>
      <c r="V29" s="111"/>
      <c r="W29" s="111"/>
      <c r="X29" s="112"/>
      <c r="Y29" s="294"/>
      <c r="Z29" s="295"/>
    </row>
    <row r="30" spans="2:26" ht="15.75" thickBot="1" x14ac:dyDescent="0.3">
      <c r="B30" s="115"/>
      <c r="C30" s="116"/>
      <c r="D30" s="117"/>
      <c r="E30" s="117"/>
      <c r="F30" s="117"/>
      <c r="G30" s="117"/>
      <c r="H30" s="117"/>
      <c r="I30" s="117"/>
      <c r="J30" s="117"/>
      <c r="K30" s="117"/>
      <c r="L30" s="117"/>
      <c r="M30" s="117"/>
      <c r="N30" s="117"/>
      <c r="O30" s="116"/>
      <c r="P30" s="116"/>
      <c r="Q30" s="116"/>
      <c r="R30" s="116"/>
      <c r="S30" s="116"/>
      <c r="T30" s="116"/>
      <c r="U30" s="116"/>
      <c r="V30" s="116"/>
      <c r="W30" s="116"/>
      <c r="X30" s="118"/>
      <c r="Y30" s="296"/>
      <c r="Z30" s="297"/>
    </row>
    <row r="32" spans="2:26" x14ac:dyDescent="0.25">
      <c r="N32" s="110"/>
    </row>
  </sheetData>
  <mergeCells count="10">
    <mergeCell ref="B3:C3"/>
    <mergeCell ref="B5:C5"/>
    <mergeCell ref="B6:C6"/>
    <mergeCell ref="B4:C4"/>
    <mergeCell ref="V4:X4"/>
    <mergeCell ref="V3:X3"/>
    <mergeCell ref="P4:R4"/>
    <mergeCell ref="S4:U4"/>
    <mergeCell ref="S3:U3"/>
    <mergeCell ref="P3:R3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" r:id="rId4" name="Button 1">
              <controlPr defaultSize="0" print="0" autoFill="0" autoPict="0" macro="[0]!Input_Data">
                <anchor moveWithCells="1" sizeWithCells="1">
                  <from>
                    <xdr:col>24</xdr:col>
                    <xdr:colOff>180975</xdr:colOff>
                    <xdr:row>4</xdr:row>
                    <xdr:rowOff>66675</xdr:rowOff>
                  </from>
                  <to>
                    <xdr:col>25</xdr:col>
                    <xdr:colOff>685800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6" r:id="rId5" name="Button 20">
              <controlPr defaultSize="0" print="0" autoFill="0" autoPict="0" macro="[0]!Upgrades">
                <anchor moveWithCells="1" sizeWithCells="1">
                  <from>
                    <xdr:col>24</xdr:col>
                    <xdr:colOff>180975</xdr:colOff>
                    <xdr:row>7</xdr:row>
                    <xdr:rowOff>66675</xdr:rowOff>
                  </from>
                  <to>
                    <xdr:col>25</xdr:col>
                    <xdr:colOff>685800</xdr:colOff>
                    <xdr:row>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7" r:id="rId6" name="Button 21">
              <controlPr defaultSize="0" print="0" autoFill="0" autoPict="0" macro="[0]!Calculations">
                <anchor moveWithCells="1" sizeWithCells="1">
                  <from>
                    <xdr:col>24</xdr:col>
                    <xdr:colOff>180975</xdr:colOff>
                    <xdr:row>10</xdr:row>
                    <xdr:rowOff>104775</xdr:rowOff>
                  </from>
                  <to>
                    <xdr:col>25</xdr:col>
                    <xdr:colOff>685800</xdr:colOff>
                    <xdr:row>12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8" r:id="rId7" name="Button 22">
              <controlPr defaultSize="0" print="0" autoFill="0" autoPict="0" macro="[0]!Cost_Elements">
                <anchor moveWithCells="1" sizeWithCells="1">
                  <from>
                    <xdr:col>24</xdr:col>
                    <xdr:colOff>161925</xdr:colOff>
                    <xdr:row>13</xdr:row>
                    <xdr:rowOff>123825</xdr:rowOff>
                  </from>
                  <to>
                    <xdr:col>25</xdr:col>
                    <xdr:colOff>676275</xdr:colOff>
                    <xdr:row>15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510B44-5D8C-4ED3-A764-DC06104EE5E1}">
  <sheetPr codeName="Sheet7">
    <tabColor rgb="FF0070C0"/>
  </sheetPr>
  <dimension ref="A1:BX111"/>
  <sheetViews>
    <sheetView zoomScale="120" zoomScaleNormal="120" workbookViewId="0">
      <pane ySplit="2" topLeftCell="A3" activePane="bottomLeft" state="frozen"/>
      <selection pane="bottomLeft" activeCell="E13" sqref="E13"/>
    </sheetView>
  </sheetViews>
  <sheetFormatPr defaultColWidth="9.140625" defaultRowHeight="15" x14ac:dyDescent="0.25"/>
  <cols>
    <col min="1" max="1" width="17.42578125" style="130" customWidth="1"/>
    <col min="2" max="2" width="26" style="130" customWidth="1"/>
    <col min="3" max="3" width="16.85546875" style="130" customWidth="1"/>
    <col min="4" max="4" width="3.140625" style="129" customWidth="1"/>
    <col min="5" max="5" width="14" style="130" customWidth="1"/>
    <col min="6" max="10" width="9.140625" style="130"/>
    <col min="11" max="11" width="9.28515625" style="130" bestFit="1" customWidth="1"/>
    <col min="12" max="16" width="9.140625" style="130"/>
    <col min="17" max="76" width="9.140625" style="143"/>
    <col min="77" max="16384" width="9.140625" style="130"/>
  </cols>
  <sheetData>
    <row r="1" spans="1:76" ht="36.950000000000003" customHeight="1" x14ac:dyDescent="0.25">
      <c r="A1" s="351"/>
      <c r="B1" s="351"/>
      <c r="C1" s="351"/>
      <c r="D1" s="352"/>
      <c r="E1" s="351"/>
      <c r="F1" s="351"/>
      <c r="G1" s="351"/>
      <c r="H1" s="351"/>
      <c r="I1" s="351"/>
      <c r="J1" s="351"/>
      <c r="K1" s="351"/>
      <c r="L1" s="351"/>
      <c r="M1" s="351"/>
      <c r="N1" s="351"/>
      <c r="O1" s="351"/>
      <c r="P1" s="351"/>
    </row>
    <row r="2" spans="1:76" s="274" customFormat="1" ht="30.95" customHeight="1" x14ac:dyDescent="0.25">
      <c r="A2" s="275" t="s">
        <v>88</v>
      </c>
      <c r="B2" s="275" t="s">
        <v>79</v>
      </c>
      <c r="C2" s="276" t="s">
        <v>89</v>
      </c>
      <c r="D2" s="353" t="s">
        <v>206</v>
      </c>
      <c r="E2" s="354"/>
      <c r="F2" s="354"/>
      <c r="G2" s="354"/>
      <c r="H2" s="354"/>
      <c r="I2" s="354"/>
      <c r="J2" s="354"/>
      <c r="K2" s="354"/>
      <c r="L2" s="354"/>
      <c r="M2" s="354"/>
      <c r="N2" s="354"/>
      <c r="O2" s="354"/>
      <c r="P2" s="354"/>
    </row>
    <row r="3" spans="1:76" x14ac:dyDescent="0.25">
      <c r="A3" s="131" t="s">
        <v>78</v>
      </c>
      <c r="B3" s="131" t="s">
        <v>102</v>
      </c>
      <c r="C3" s="269">
        <v>1</v>
      </c>
      <c r="D3" s="199"/>
      <c r="E3" s="193"/>
    </row>
    <row r="4" spans="1:76" x14ac:dyDescent="0.25">
      <c r="A4" s="131" t="s">
        <v>78</v>
      </c>
      <c r="B4" s="131" t="s">
        <v>103</v>
      </c>
      <c r="C4" s="269">
        <v>0.22</v>
      </c>
      <c r="D4" s="132"/>
    </row>
    <row r="5" spans="1:76" x14ac:dyDescent="0.25">
      <c r="A5" s="131" t="s">
        <v>78</v>
      </c>
      <c r="B5" s="131" t="s">
        <v>104</v>
      </c>
      <c r="C5" s="269">
        <v>1</v>
      </c>
      <c r="D5" s="132"/>
      <c r="J5" s="133"/>
    </row>
    <row r="6" spans="1:76" x14ac:dyDescent="0.25">
      <c r="A6" s="131" t="s">
        <v>78</v>
      </c>
      <c r="B6" s="131" t="s">
        <v>105</v>
      </c>
      <c r="C6" s="269">
        <v>0.28399999999999997</v>
      </c>
      <c r="D6" s="132"/>
      <c r="J6" s="133"/>
      <c r="K6" s="298"/>
    </row>
    <row r="7" spans="1:76" x14ac:dyDescent="0.25">
      <c r="A7" s="131" t="s">
        <v>78</v>
      </c>
      <c r="B7" s="131" t="s">
        <v>106</v>
      </c>
      <c r="C7" s="269">
        <v>0.34499999999999997</v>
      </c>
      <c r="D7" s="132"/>
      <c r="J7" s="133"/>
    </row>
    <row r="8" spans="1:76" x14ac:dyDescent="0.25">
      <c r="A8" s="131" t="s">
        <v>78</v>
      </c>
      <c r="B8" s="131" t="s">
        <v>107</v>
      </c>
      <c r="C8" s="269">
        <v>0.39</v>
      </c>
      <c r="D8" s="132"/>
      <c r="J8" s="133"/>
    </row>
    <row r="9" spans="1:76" x14ac:dyDescent="0.25">
      <c r="A9" s="131" t="s">
        <v>78</v>
      </c>
      <c r="B9" s="131" t="s">
        <v>108</v>
      </c>
      <c r="C9" s="269">
        <v>0.37</v>
      </c>
      <c r="D9" s="132"/>
      <c r="J9" s="133"/>
    </row>
    <row r="10" spans="1:76" x14ac:dyDescent="0.25">
      <c r="A10" s="131" t="s">
        <v>78</v>
      </c>
      <c r="B10" s="131" t="s">
        <v>109</v>
      </c>
      <c r="C10" s="269">
        <v>0.435</v>
      </c>
      <c r="D10" s="132"/>
      <c r="J10" s="133"/>
    </row>
    <row r="11" spans="1:76" x14ac:dyDescent="0.25">
      <c r="A11" s="131" t="s">
        <v>78</v>
      </c>
      <c r="B11" s="131" t="s">
        <v>110</v>
      </c>
      <c r="C11" s="269">
        <v>0.49</v>
      </c>
      <c r="D11" s="132"/>
      <c r="J11" s="133"/>
    </row>
    <row r="12" spans="1:76" x14ac:dyDescent="0.25">
      <c r="A12" s="131" t="s">
        <v>78</v>
      </c>
      <c r="B12" s="131" t="s">
        <v>111</v>
      </c>
      <c r="C12" s="269">
        <v>0.59</v>
      </c>
      <c r="D12" s="132"/>
    </row>
    <row r="13" spans="1:76" x14ac:dyDescent="0.25">
      <c r="A13" s="131" t="s">
        <v>78</v>
      </c>
      <c r="B13" s="131" t="s">
        <v>112</v>
      </c>
      <c r="C13" s="269">
        <v>0.7</v>
      </c>
      <c r="D13" s="132"/>
    </row>
    <row r="14" spans="1:76" s="134" customFormat="1" x14ac:dyDescent="0.25">
      <c r="A14" s="131" t="s">
        <v>78</v>
      </c>
      <c r="B14" s="131" t="s">
        <v>113</v>
      </c>
      <c r="C14" s="269">
        <v>0.79</v>
      </c>
      <c r="D14" s="132"/>
      <c r="Q14" s="144"/>
      <c r="R14" s="144"/>
      <c r="S14" s="144"/>
      <c r="T14" s="144"/>
      <c r="U14" s="144"/>
      <c r="V14" s="144"/>
      <c r="W14" s="144"/>
      <c r="X14" s="144"/>
      <c r="Y14" s="144"/>
      <c r="Z14" s="144"/>
      <c r="AA14" s="144"/>
      <c r="AB14" s="144"/>
      <c r="AC14" s="144"/>
      <c r="AD14" s="144"/>
      <c r="AE14" s="144"/>
      <c r="AF14" s="144"/>
      <c r="AG14" s="144"/>
      <c r="AH14" s="144"/>
      <c r="AI14" s="144"/>
      <c r="AJ14" s="144"/>
      <c r="AK14" s="144"/>
      <c r="AL14" s="144"/>
      <c r="AM14" s="144"/>
      <c r="AN14" s="144"/>
      <c r="AO14" s="144"/>
      <c r="AP14" s="144"/>
      <c r="AQ14" s="144"/>
      <c r="AR14" s="144"/>
      <c r="AS14" s="144"/>
      <c r="AT14" s="144"/>
      <c r="AU14" s="144"/>
      <c r="AV14" s="144"/>
      <c r="AW14" s="144"/>
      <c r="AX14" s="144"/>
      <c r="AY14" s="144"/>
      <c r="AZ14" s="144"/>
      <c r="BA14" s="144"/>
      <c r="BB14" s="144"/>
      <c r="BC14" s="144"/>
      <c r="BD14" s="144"/>
      <c r="BE14" s="144"/>
      <c r="BF14" s="144"/>
      <c r="BG14" s="144"/>
      <c r="BH14" s="144"/>
      <c r="BI14" s="144"/>
      <c r="BJ14" s="144"/>
      <c r="BK14" s="144"/>
      <c r="BL14" s="144"/>
      <c r="BM14" s="144"/>
      <c r="BN14" s="144"/>
      <c r="BO14" s="144"/>
      <c r="BP14" s="144"/>
      <c r="BQ14" s="144"/>
      <c r="BR14" s="144"/>
      <c r="BS14" s="144"/>
      <c r="BT14" s="144"/>
      <c r="BU14" s="144"/>
      <c r="BV14" s="144"/>
      <c r="BW14" s="144"/>
      <c r="BX14" s="144"/>
    </row>
    <row r="15" spans="1:76" s="134" customFormat="1" x14ac:dyDescent="0.25">
      <c r="A15" s="131" t="s">
        <v>78</v>
      </c>
      <c r="B15" s="131" t="s">
        <v>114</v>
      </c>
      <c r="C15" s="269">
        <v>1.32</v>
      </c>
      <c r="D15" s="132"/>
      <c r="Q15" s="144"/>
      <c r="R15" s="144"/>
      <c r="S15" s="144"/>
      <c r="T15" s="144"/>
      <c r="U15" s="144"/>
      <c r="V15" s="144"/>
      <c r="W15" s="144"/>
      <c r="X15" s="144"/>
      <c r="Y15" s="144"/>
      <c r="Z15" s="144"/>
      <c r="AA15" s="144"/>
      <c r="AB15" s="144"/>
      <c r="AC15" s="144"/>
      <c r="AD15" s="144"/>
      <c r="AE15" s="144"/>
      <c r="AF15" s="144"/>
      <c r="AG15" s="144"/>
      <c r="AH15" s="144"/>
      <c r="AI15" s="144"/>
      <c r="AJ15" s="144"/>
      <c r="AK15" s="144"/>
      <c r="AL15" s="144"/>
      <c r="AM15" s="144"/>
      <c r="AN15" s="144"/>
      <c r="AO15" s="144"/>
      <c r="AP15" s="144"/>
      <c r="AQ15" s="144"/>
      <c r="AR15" s="144"/>
      <c r="AS15" s="144"/>
      <c r="AT15" s="144"/>
      <c r="AU15" s="144"/>
      <c r="AV15" s="144"/>
      <c r="AW15" s="144"/>
      <c r="AX15" s="144"/>
      <c r="AY15" s="144"/>
      <c r="AZ15" s="144"/>
      <c r="BA15" s="144"/>
      <c r="BB15" s="144"/>
      <c r="BC15" s="144"/>
      <c r="BD15" s="144"/>
      <c r="BE15" s="144"/>
      <c r="BF15" s="144"/>
      <c r="BG15" s="144"/>
      <c r="BH15" s="144"/>
      <c r="BI15" s="144"/>
      <c r="BJ15" s="144"/>
      <c r="BK15" s="144"/>
      <c r="BL15" s="144"/>
      <c r="BM15" s="144"/>
      <c r="BN15" s="144"/>
      <c r="BO15" s="144"/>
      <c r="BP15" s="144"/>
      <c r="BQ15" s="144"/>
      <c r="BR15" s="144"/>
      <c r="BS15" s="144"/>
      <c r="BT15" s="144"/>
      <c r="BU15" s="144"/>
      <c r="BV15" s="144"/>
      <c r="BW15" s="144"/>
      <c r="BX15" s="144"/>
    </row>
    <row r="16" spans="1:76" s="134" customFormat="1" x14ac:dyDescent="0.25">
      <c r="A16" s="131" t="s">
        <v>78</v>
      </c>
      <c r="B16" s="131" t="s">
        <v>115</v>
      </c>
      <c r="C16" s="269">
        <v>1.6</v>
      </c>
      <c r="D16" s="132"/>
      <c r="Q16" s="144"/>
      <c r="R16" s="144"/>
      <c r="S16" s="144"/>
      <c r="T16" s="144"/>
      <c r="U16" s="144"/>
      <c r="V16" s="144"/>
      <c r="W16" s="144"/>
      <c r="X16" s="144"/>
      <c r="Y16" s="144"/>
      <c r="Z16" s="144"/>
      <c r="AA16" s="144"/>
      <c r="AB16" s="144"/>
      <c r="AC16" s="144"/>
      <c r="AD16" s="144"/>
      <c r="AE16" s="144"/>
      <c r="AF16" s="144"/>
      <c r="AG16" s="144"/>
      <c r="AH16" s="144"/>
      <c r="AI16" s="144"/>
      <c r="AJ16" s="144"/>
      <c r="AK16" s="144"/>
      <c r="AL16" s="144"/>
      <c r="AM16" s="144"/>
      <c r="AN16" s="144"/>
      <c r="AO16" s="144"/>
      <c r="AP16" s="144"/>
      <c r="AQ16" s="144"/>
      <c r="AR16" s="144"/>
      <c r="AS16" s="144"/>
      <c r="AT16" s="144"/>
      <c r="AU16" s="144"/>
      <c r="AV16" s="144"/>
      <c r="AW16" s="144"/>
      <c r="AX16" s="144"/>
      <c r="AY16" s="144"/>
      <c r="AZ16" s="144"/>
      <c r="BA16" s="144"/>
      <c r="BB16" s="144"/>
      <c r="BC16" s="144"/>
      <c r="BD16" s="144"/>
      <c r="BE16" s="144"/>
      <c r="BF16" s="144"/>
      <c r="BG16" s="144"/>
      <c r="BH16" s="144"/>
      <c r="BI16" s="144"/>
      <c r="BJ16" s="144"/>
      <c r="BK16" s="144"/>
      <c r="BL16" s="144"/>
      <c r="BM16" s="144"/>
      <c r="BN16" s="144"/>
      <c r="BO16" s="144"/>
      <c r="BP16" s="144"/>
      <c r="BQ16" s="144"/>
      <c r="BR16" s="144"/>
      <c r="BS16" s="144"/>
      <c r="BT16" s="144"/>
      <c r="BU16" s="144"/>
      <c r="BV16" s="144"/>
      <c r="BW16" s="144"/>
      <c r="BX16" s="144"/>
    </row>
    <row r="17" spans="1:76" s="134" customFormat="1" x14ac:dyDescent="0.25">
      <c r="A17" s="131" t="s">
        <v>78</v>
      </c>
      <c r="B17" s="131" t="s">
        <v>116</v>
      </c>
      <c r="C17" s="269">
        <v>1.65</v>
      </c>
      <c r="D17" s="132"/>
      <c r="Q17" s="144"/>
      <c r="R17" s="144"/>
      <c r="S17" s="144"/>
      <c r="T17" s="144"/>
      <c r="U17" s="144"/>
      <c r="V17" s="144"/>
      <c r="W17" s="144"/>
      <c r="X17" s="144"/>
      <c r="Y17" s="144"/>
      <c r="Z17" s="144"/>
      <c r="AA17" s="144"/>
      <c r="AB17" s="144"/>
      <c r="AC17" s="144"/>
      <c r="AD17" s="144"/>
      <c r="AE17" s="144"/>
      <c r="AF17" s="144"/>
      <c r="AG17" s="144"/>
      <c r="AH17" s="144"/>
      <c r="AI17" s="144"/>
      <c r="AJ17" s="144"/>
      <c r="AK17" s="144"/>
      <c r="AL17" s="144"/>
      <c r="AM17" s="144"/>
      <c r="AN17" s="144"/>
      <c r="AO17" s="144"/>
      <c r="AP17" s="144"/>
      <c r="AQ17" s="144"/>
      <c r="AR17" s="144"/>
      <c r="AS17" s="144"/>
      <c r="AT17" s="144"/>
      <c r="AU17" s="144"/>
      <c r="AV17" s="144"/>
      <c r="AW17" s="144"/>
      <c r="AX17" s="144"/>
      <c r="AY17" s="144"/>
      <c r="AZ17" s="144"/>
      <c r="BA17" s="144"/>
      <c r="BB17" s="144"/>
      <c r="BC17" s="144"/>
      <c r="BD17" s="144"/>
      <c r="BE17" s="144"/>
      <c r="BF17" s="144"/>
      <c r="BG17" s="144"/>
      <c r="BH17" s="144"/>
      <c r="BI17" s="144"/>
      <c r="BJ17" s="144"/>
      <c r="BK17" s="144"/>
      <c r="BL17" s="144"/>
      <c r="BM17" s="144"/>
      <c r="BN17" s="144"/>
      <c r="BO17" s="144"/>
      <c r="BP17" s="144"/>
      <c r="BQ17" s="144"/>
      <c r="BR17" s="144"/>
      <c r="BS17" s="144"/>
      <c r="BT17" s="144"/>
      <c r="BU17" s="144"/>
      <c r="BV17" s="144"/>
      <c r="BW17" s="144"/>
      <c r="BX17" s="144"/>
    </row>
    <row r="18" spans="1:76" x14ac:dyDescent="0.25">
      <c r="A18" s="135" t="s">
        <v>78</v>
      </c>
      <c r="B18" s="135" t="s">
        <v>14</v>
      </c>
      <c r="C18" s="270">
        <v>1</v>
      </c>
      <c r="D18" s="132"/>
    </row>
    <row r="19" spans="1:76" x14ac:dyDescent="0.25">
      <c r="A19" s="135" t="s">
        <v>78</v>
      </c>
      <c r="B19" s="135" t="s">
        <v>15</v>
      </c>
      <c r="C19" s="270">
        <v>0.80300000000000005</v>
      </c>
      <c r="D19" s="132"/>
    </row>
    <row r="20" spans="1:76" x14ac:dyDescent="0.25">
      <c r="A20" s="135" t="s">
        <v>78</v>
      </c>
      <c r="B20" s="135" t="s">
        <v>16</v>
      </c>
      <c r="C20" s="270">
        <v>0.55300000000000005</v>
      </c>
      <c r="D20" s="132"/>
    </row>
    <row r="21" spans="1:76" x14ac:dyDescent="0.25">
      <c r="A21" s="135" t="s">
        <v>78</v>
      </c>
      <c r="B21" s="135" t="s">
        <v>17</v>
      </c>
      <c r="C21" s="270">
        <v>0.41299999999999998</v>
      </c>
      <c r="D21" s="132"/>
    </row>
    <row r="22" spans="1:76" x14ac:dyDescent="0.25">
      <c r="A22" s="135" t="s">
        <v>78</v>
      </c>
      <c r="B22" s="135" t="s">
        <v>18</v>
      </c>
      <c r="C22" s="270">
        <v>0.41199999999999998</v>
      </c>
      <c r="D22" s="132"/>
    </row>
    <row r="23" spans="1:76" x14ac:dyDescent="0.25">
      <c r="A23" s="135" t="s">
        <v>78</v>
      </c>
      <c r="B23" s="135" t="s">
        <v>19</v>
      </c>
      <c r="C23" s="270">
        <v>0.53800000000000003</v>
      </c>
      <c r="D23" s="132"/>
    </row>
    <row r="24" spans="1:76" x14ac:dyDescent="0.25">
      <c r="A24" s="135" t="s">
        <v>78</v>
      </c>
      <c r="B24" s="135" t="s">
        <v>20</v>
      </c>
      <c r="C24" s="270">
        <v>0.443</v>
      </c>
      <c r="D24" s="132"/>
    </row>
    <row r="25" spans="1:76" x14ac:dyDescent="0.25">
      <c r="A25" s="135" t="s">
        <v>78</v>
      </c>
      <c r="B25" s="135" t="s">
        <v>21</v>
      </c>
      <c r="C25" s="270">
        <v>0.45</v>
      </c>
      <c r="D25" s="132"/>
    </row>
    <row r="26" spans="1:76" x14ac:dyDescent="0.25">
      <c r="A26" s="135" t="s">
        <v>78</v>
      </c>
      <c r="B26" s="135" t="s">
        <v>22</v>
      </c>
      <c r="C26" s="270">
        <v>0.28299999999999997</v>
      </c>
    </row>
    <row r="27" spans="1:76" x14ac:dyDescent="0.25">
      <c r="A27" s="136" t="s">
        <v>78</v>
      </c>
      <c r="B27" s="136" t="s">
        <v>23</v>
      </c>
      <c r="C27" s="270"/>
      <c r="D27" s="132"/>
    </row>
    <row r="28" spans="1:76" x14ac:dyDescent="0.25">
      <c r="A28" s="136" t="s">
        <v>78</v>
      </c>
      <c r="B28" s="136" t="s">
        <v>24</v>
      </c>
      <c r="C28" s="270">
        <v>1.113</v>
      </c>
      <c r="D28" s="132"/>
    </row>
    <row r="29" spans="1:76" x14ac:dyDescent="0.25">
      <c r="A29" s="136" t="s">
        <v>78</v>
      </c>
      <c r="B29" s="136" t="s">
        <v>25</v>
      </c>
      <c r="C29" s="270">
        <v>1.103</v>
      </c>
      <c r="D29" s="132"/>
    </row>
    <row r="30" spans="1:76" x14ac:dyDescent="0.25">
      <c r="A30" s="136" t="s">
        <v>78</v>
      </c>
      <c r="B30" s="136" t="s">
        <v>26</v>
      </c>
      <c r="C30" s="270">
        <v>0.72299999999999998</v>
      </c>
    </row>
    <row r="31" spans="1:76" x14ac:dyDescent="0.25">
      <c r="A31" s="136" t="s">
        <v>78</v>
      </c>
      <c r="B31" s="136" t="s">
        <v>33</v>
      </c>
      <c r="C31" s="270"/>
    </row>
    <row r="32" spans="1:76" x14ac:dyDescent="0.25">
      <c r="A32" s="136" t="s">
        <v>78</v>
      </c>
      <c r="B32" s="136" t="s">
        <v>27</v>
      </c>
      <c r="C32" s="270"/>
      <c r="D32" s="132"/>
    </row>
    <row r="33" spans="1:4" x14ac:dyDescent="0.25">
      <c r="A33" s="136" t="s">
        <v>78</v>
      </c>
      <c r="B33" s="136" t="s">
        <v>34</v>
      </c>
      <c r="C33" s="270">
        <v>0.56299999999999994</v>
      </c>
    </row>
    <row r="34" spans="1:4" x14ac:dyDescent="0.25">
      <c r="A34" s="136" t="s">
        <v>78</v>
      </c>
      <c r="B34" s="136" t="s">
        <v>28</v>
      </c>
      <c r="C34" s="270"/>
      <c r="D34" s="132"/>
    </row>
    <row r="35" spans="1:4" x14ac:dyDescent="0.25">
      <c r="A35" s="136" t="s">
        <v>78</v>
      </c>
      <c r="B35" s="136" t="s">
        <v>35</v>
      </c>
      <c r="C35" s="270">
        <v>0.65300000000000002</v>
      </c>
    </row>
    <row r="36" spans="1:4" x14ac:dyDescent="0.25">
      <c r="A36" s="136" t="s">
        <v>78</v>
      </c>
      <c r="B36" s="136" t="s">
        <v>29</v>
      </c>
      <c r="C36" s="270"/>
      <c r="D36" s="132"/>
    </row>
    <row r="37" spans="1:4" x14ac:dyDescent="0.25">
      <c r="A37" s="136" t="s">
        <v>78</v>
      </c>
      <c r="B37" s="136" t="s">
        <v>30</v>
      </c>
      <c r="C37" s="271">
        <v>0.45250000000000001</v>
      </c>
      <c r="D37" s="132"/>
    </row>
    <row r="38" spans="1:4" x14ac:dyDescent="0.25">
      <c r="A38" s="136" t="s">
        <v>78</v>
      </c>
      <c r="B38" s="136" t="s">
        <v>31</v>
      </c>
      <c r="C38" s="272"/>
    </row>
    <row r="39" spans="1:4" x14ac:dyDescent="0.25">
      <c r="A39" s="136" t="s">
        <v>78</v>
      </c>
      <c r="B39" s="136" t="s">
        <v>183</v>
      </c>
      <c r="C39" s="272"/>
    </row>
    <row r="40" spans="1:4" x14ac:dyDescent="0.25">
      <c r="A40" s="136" t="s">
        <v>78</v>
      </c>
      <c r="B40" s="136" t="s">
        <v>37</v>
      </c>
      <c r="C40" s="272"/>
    </row>
    <row r="41" spans="1:4" x14ac:dyDescent="0.25">
      <c r="A41" s="136" t="s">
        <v>78</v>
      </c>
      <c r="B41" s="136" t="s">
        <v>32</v>
      </c>
      <c r="C41" s="271">
        <v>0.3725</v>
      </c>
      <c r="D41" s="132"/>
    </row>
    <row r="42" spans="1:4" x14ac:dyDescent="0.25">
      <c r="A42" s="136" t="s">
        <v>78</v>
      </c>
      <c r="B42" s="136" t="s">
        <v>38</v>
      </c>
      <c r="C42" s="272"/>
    </row>
    <row r="43" spans="1:4" x14ac:dyDescent="0.25">
      <c r="A43" s="135" t="s">
        <v>78</v>
      </c>
      <c r="B43" s="135" t="s">
        <v>39</v>
      </c>
      <c r="C43" s="272">
        <v>1.4</v>
      </c>
      <c r="D43" s="132"/>
    </row>
    <row r="44" spans="1:4" x14ac:dyDescent="0.25">
      <c r="A44" s="135" t="s">
        <v>78</v>
      </c>
      <c r="B44" s="135" t="s">
        <v>40</v>
      </c>
      <c r="C44" s="272">
        <v>1.46</v>
      </c>
      <c r="D44" s="132"/>
    </row>
    <row r="45" spans="1:4" x14ac:dyDescent="0.25">
      <c r="A45" s="135" t="s">
        <v>78</v>
      </c>
      <c r="B45" s="135" t="s">
        <v>41</v>
      </c>
      <c r="C45" s="271">
        <v>0.9325</v>
      </c>
      <c r="D45" s="132"/>
    </row>
    <row r="46" spans="1:4" x14ac:dyDescent="0.25">
      <c r="A46" s="135" t="s">
        <v>78</v>
      </c>
      <c r="B46" s="135" t="s">
        <v>42</v>
      </c>
      <c r="C46" s="272"/>
    </row>
    <row r="47" spans="1:4" x14ac:dyDescent="0.25">
      <c r="A47" s="135" t="s">
        <v>78</v>
      </c>
      <c r="B47" s="135" t="s">
        <v>43</v>
      </c>
      <c r="C47" s="271">
        <v>0.75249999999999995</v>
      </c>
      <c r="D47" s="132"/>
    </row>
    <row r="48" spans="1:4" x14ac:dyDescent="0.25">
      <c r="A48" s="135" t="s">
        <v>78</v>
      </c>
      <c r="B48" s="135" t="s">
        <v>53</v>
      </c>
      <c r="C48" s="272"/>
    </row>
    <row r="49" spans="1:4" x14ac:dyDescent="0.25">
      <c r="A49" s="135" t="s">
        <v>78</v>
      </c>
      <c r="B49" s="135" t="s">
        <v>44</v>
      </c>
      <c r="C49" s="272">
        <v>0.84</v>
      </c>
      <c r="D49" s="132"/>
    </row>
    <row r="50" spans="1:4" x14ac:dyDescent="0.25">
      <c r="A50" s="135" t="s">
        <v>78</v>
      </c>
      <c r="B50" s="135" t="s">
        <v>45</v>
      </c>
      <c r="C50" s="272"/>
    </row>
    <row r="51" spans="1:4" x14ac:dyDescent="0.25">
      <c r="A51" s="135" t="s">
        <v>78</v>
      </c>
      <c r="B51" s="135" t="s">
        <v>46</v>
      </c>
      <c r="C51" s="272">
        <v>0.74</v>
      </c>
      <c r="D51" s="132"/>
    </row>
    <row r="52" spans="1:4" x14ac:dyDescent="0.25">
      <c r="A52" s="135" t="s">
        <v>78</v>
      </c>
      <c r="B52" s="135" t="s">
        <v>47</v>
      </c>
      <c r="C52" s="272">
        <v>0.65</v>
      </c>
      <c r="D52" s="132"/>
    </row>
    <row r="53" spans="1:4" x14ac:dyDescent="0.25">
      <c r="A53" s="135" t="s">
        <v>78</v>
      </c>
      <c r="B53" s="135" t="s">
        <v>48</v>
      </c>
      <c r="C53" s="272"/>
    </row>
    <row r="54" spans="1:4" x14ac:dyDescent="0.25">
      <c r="A54" s="135" t="s">
        <v>78</v>
      </c>
      <c r="B54" s="135" t="s">
        <v>54</v>
      </c>
      <c r="C54" s="272"/>
    </row>
    <row r="55" spans="1:4" x14ac:dyDescent="0.25">
      <c r="A55" s="135" t="s">
        <v>78</v>
      </c>
      <c r="B55" s="135" t="s">
        <v>49</v>
      </c>
      <c r="C55" s="272"/>
    </row>
    <row r="56" spans="1:4" x14ac:dyDescent="0.25">
      <c r="A56" s="135" t="s">
        <v>78</v>
      </c>
      <c r="B56" s="135" t="s">
        <v>50</v>
      </c>
      <c r="C56" s="272"/>
    </row>
    <row r="57" spans="1:4" x14ac:dyDescent="0.25">
      <c r="A57" s="135" t="s">
        <v>78</v>
      </c>
      <c r="B57" s="135" t="s">
        <v>51</v>
      </c>
      <c r="C57" s="272">
        <v>0.45</v>
      </c>
      <c r="D57" s="132"/>
    </row>
    <row r="58" spans="1:4" x14ac:dyDescent="0.25">
      <c r="A58" s="135" t="s">
        <v>78</v>
      </c>
      <c r="B58" s="135" t="s">
        <v>52</v>
      </c>
      <c r="C58" s="272"/>
    </row>
    <row r="59" spans="1:4" x14ac:dyDescent="0.25">
      <c r="A59" s="137" t="s">
        <v>92</v>
      </c>
      <c r="B59" s="137" t="s">
        <v>93</v>
      </c>
      <c r="C59" s="272">
        <v>2.15</v>
      </c>
      <c r="D59" s="132"/>
    </row>
    <row r="60" spans="1:4" x14ac:dyDescent="0.25">
      <c r="A60" s="137" t="s">
        <v>78</v>
      </c>
      <c r="B60" s="137" t="s">
        <v>55</v>
      </c>
      <c r="C60" s="272">
        <v>2.4</v>
      </c>
      <c r="D60" s="132"/>
    </row>
    <row r="61" spans="1:4" x14ac:dyDescent="0.25">
      <c r="A61" s="137" t="s">
        <v>78</v>
      </c>
      <c r="B61" s="137" t="s">
        <v>56</v>
      </c>
      <c r="C61" s="272">
        <v>1.41</v>
      </c>
      <c r="D61" s="132"/>
    </row>
    <row r="62" spans="1:4" x14ac:dyDescent="0.25">
      <c r="A62" s="137" t="s">
        <v>78</v>
      </c>
      <c r="B62" s="137" t="s">
        <v>57</v>
      </c>
      <c r="C62" s="272"/>
    </row>
    <row r="63" spans="1:4" x14ac:dyDescent="0.25">
      <c r="A63" s="137" t="s">
        <v>78</v>
      </c>
      <c r="B63" s="137" t="s">
        <v>58</v>
      </c>
      <c r="C63" s="272">
        <v>1.07</v>
      </c>
      <c r="D63" s="132"/>
    </row>
    <row r="64" spans="1:4" x14ac:dyDescent="0.25">
      <c r="A64" s="137" t="s">
        <v>78</v>
      </c>
      <c r="B64" s="137" t="s">
        <v>67</v>
      </c>
      <c r="C64" s="272">
        <v>1.2</v>
      </c>
    </row>
    <row r="65" spans="1:10" x14ac:dyDescent="0.25">
      <c r="A65" s="137" t="s">
        <v>78</v>
      </c>
      <c r="B65" s="137" t="s">
        <v>59</v>
      </c>
      <c r="C65" s="272">
        <v>0.84</v>
      </c>
      <c r="D65" s="132"/>
    </row>
    <row r="66" spans="1:10" x14ac:dyDescent="0.25">
      <c r="A66" s="137" t="s">
        <v>78</v>
      </c>
      <c r="B66" s="137" t="s">
        <v>60</v>
      </c>
      <c r="C66" s="272"/>
    </row>
    <row r="67" spans="1:10" x14ac:dyDescent="0.25">
      <c r="A67" s="137" t="s">
        <v>78</v>
      </c>
      <c r="B67" s="137" t="s">
        <v>61</v>
      </c>
      <c r="C67" s="272">
        <v>1.04</v>
      </c>
      <c r="D67" s="132"/>
      <c r="J67" s="133"/>
    </row>
    <row r="68" spans="1:10" x14ac:dyDescent="0.25">
      <c r="A68" s="137" t="s">
        <v>78</v>
      </c>
      <c r="B68" s="137" t="s">
        <v>68</v>
      </c>
      <c r="C68" s="272"/>
      <c r="J68" s="133"/>
    </row>
    <row r="69" spans="1:10" x14ac:dyDescent="0.25">
      <c r="A69" s="137" t="s">
        <v>78</v>
      </c>
      <c r="B69" s="137" t="s">
        <v>62</v>
      </c>
      <c r="C69" s="272">
        <v>1.2</v>
      </c>
      <c r="D69" s="132"/>
      <c r="J69" s="133"/>
    </row>
    <row r="70" spans="1:10" x14ac:dyDescent="0.25">
      <c r="A70" s="137" t="s">
        <v>78</v>
      </c>
      <c r="B70" s="137" t="s">
        <v>63</v>
      </c>
      <c r="C70" s="272"/>
      <c r="J70" s="133"/>
    </row>
    <row r="71" spans="1:10" x14ac:dyDescent="0.25">
      <c r="A71" s="137" t="s">
        <v>78</v>
      </c>
      <c r="B71" s="137" t="s">
        <v>64</v>
      </c>
      <c r="C71" s="272"/>
      <c r="J71" s="133"/>
    </row>
    <row r="72" spans="1:10" x14ac:dyDescent="0.25">
      <c r="A72" s="137" t="s">
        <v>78</v>
      </c>
      <c r="B72" s="137" t="s">
        <v>65</v>
      </c>
      <c r="C72" s="272">
        <v>0.62</v>
      </c>
      <c r="D72" s="132"/>
      <c r="J72" s="133"/>
    </row>
    <row r="73" spans="1:10" x14ac:dyDescent="0.25">
      <c r="A73" s="137" t="s">
        <v>78</v>
      </c>
      <c r="B73" s="137" t="s">
        <v>69</v>
      </c>
      <c r="C73" s="272"/>
      <c r="J73" s="133"/>
    </row>
    <row r="74" spans="1:10" x14ac:dyDescent="0.25">
      <c r="A74" s="137" t="s">
        <v>78</v>
      </c>
      <c r="B74" s="137" t="s">
        <v>66</v>
      </c>
      <c r="C74" s="272"/>
    </row>
    <row r="75" spans="1:10" x14ac:dyDescent="0.25">
      <c r="A75" s="138" t="s">
        <v>78</v>
      </c>
      <c r="B75" s="139" t="s">
        <v>117</v>
      </c>
      <c r="C75" s="272"/>
    </row>
    <row r="76" spans="1:10" x14ac:dyDescent="0.25">
      <c r="A76" s="138" t="s">
        <v>78</v>
      </c>
      <c r="B76" s="139" t="s">
        <v>187</v>
      </c>
      <c r="C76" s="272"/>
    </row>
    <row r="77" spans="1:10" x14ac:dyDescent="0.25">
      <c r="A77" s="138" t="s">
        <v>78</v>
      </c>
      <c r="B77" s="139" t="s">
        <v>188</v>
      </c>
      <c r="C77" s="272"/>
    </row>
    <row r="78" spans="1:10" x14ac:dyDescent="0.25">
      <c r="A78" s="136" t="s">
        <v>80</v>
      </c>
      <c r="B78" s="140" t="s">
        <v>157</v>
      </c>
      <c r="C78" s="272">
        <v>1</v>
      </c>
      <c r="D78" s="198"/>
      <c r="E78" s="193"/>
      <c r="F78" s="197"/>
    </row>
    <row r="79" spans="1:10" x14ac:dyDescent="0.25">
      <c r="A79" s="136" t="s">
        <v>80</v>
      </c>
      <c r="B79" s="140" t="s">
        <v>158</v>
      </c>
      <c r="C79" s="272">
        <v>0.7</v>
      </c>
    </row>
    <row r="80" spans="1:10" x14ac:dyDescent="0.25">
      <c r="A80" s="136" t="s">
        <v>80</v>
      </c>
      <c r="B80" s="140" t="s">
        <v>159</v>
      </c>
      <c r="C80" s="272">
        <v>0.5</v>
      </c>
    </row>
    <row r="81" spans="1:6" x14ac:dyDescent="0.25">
      <c r="A81" s="136" t="s">
        <v>80</v>
      </c>
      <c r="B81" s="140" t="s">
        <v>4</v>
      </c>
      <c r="C81" s="272"/>
    </row>
    <row r="82" spans="1:6" x14ac:dyDescent="0.25">
      <c r="A82" s="136" t="s">
        <v>80</v>
      </c>
      <c r="B82" s="140" t="s">
        <v>161</v>
      </c>
      <c r="C82" s="272">
        <v>1</v>
      </c>
    </row>
    <row r="83" spans="1:6" x14ac:dyDescent="0.25">
      <c r="A83" s="136" t="s">
        <v>80</v>
      </c>
      <c r="B83" s="140" t="s">
        <v>162</v>
      </c>
      <c r="C83" s="272">
        <v>0.9</v>
      </c>
    </row>
    <row r="84" spans="1:6" x14ac:dyDescent="0.25">
      <c r="A84" s="136" t="s">
        <v>80</v>
      </c>
      <c r="B84" s="140" t="s">
        <v>163</v>
      </c>
      <c r="C84" s="272">
        <v>0.8</v>
      </c>
    </row>
    <row r="85" spans="1:6" x14ac:dyDescent="0.25">
      <c r="A85" s="196" t="s">
        <v>118</v>
      </c>
      <c r="B85" s="196"/>
      <c r="C85" s="273"/>
    </row>
    <row r="86" spans="1:6" x14ac:dyDescent="0.25">
      <c r="A86" s="141" t="s">
        <v>81</v>
      </c>
      <c r="B86" s="141" t="s">
        <v>2</v>
      </c>
      <c r="C86" s="272">
        <v>5</v>
      </c>
      <c r="D86" s="192"/>
      <c r="E86" s="193"/>
      <c r="F86" s="197"/>
    </row>
    <row r="87" spans="1:6" x14ac:dyDescent="0.25">
      <c r="A87" s="141" t="s">
        <v>81</v>
      </c>
      <c r="B87" s="141" t="s">
        <v>0</v>
      </c>
      <c r="C87" s="272">
        <v>0.95</v>
      </c>
    </row>
    <row r="88" spans="1:6" x14ac:dyDescent="0.25">
      <c r="A88" s="141" t="s">
        <v>81</v>
      </c>
      <c r="B88" s="141" t="s">
        <v>1</v>
      </c>
      <c r="C88" s="272">
        <v>0.63</v>
      </c>
    </row>
    <row r="89" spans="1:6" x14ac:dyDescent="0.25">
      <c r="A89" s="141" t="s">
        <v>81</v>
      </c>
      <c r="B89" s="141" t="s">
        <v>187</v>
      </c>
      <c r="C89" s="272"/>
    </row>
    <row r="90" spans="1:6" x14ac:dyDescent="0.25">
      <c r="A90" s="141" t="s">
        <v>81</v>
      </c>
      <c r="B90" s="141" t="s">
        <v>188</v>
      </c>
      <c r="C90" s="272"/>
    </row>
    <row r="91" spans="1:6" x14ac:dyDescent="0.25">
      <c r="A91" s="141" t="s">
        <v>81</v>
      </c>
      <c r="B91" s="141" t="s">
        <v>189</v>
      </c>
      <c r="C91" s="272"/>
    </row>
    <row r="92" spans="1:6" x14ac:dyDescent="0.25">
      <c r="A92" s="141" t="s">
        <v>81</v>
      </c>
      <c r="B92" s="141" t="s">
        <v>190</v>
      </c>
      <c r="C92" s="272"/>
    </row>
    <row r="93" spans="1:6" x14ac:dyDescent="0.25">
      <c r="A93" s="191" t="s">
        <v>81</v>
      </c>
      <c r="B93" s="191" t="s">
        <v>4</v>
      </c>
      <c r="C93" s="273"/>
    </row>
    <row r="94" spans="1:6" x14ac:dyDescent="0.25">
      <c r="A94" s="142" t="s">
        <v>164</v>
      </c>
      <c r="B94" s="142" t="s">
        <v>4</v>
      </c>
      <c r="C94" s="272"/>
      <c r="D94" s="192"/>
      <c r="E94" s="193"/>
      <c r="F94" s="197"/>
    </row>
    <row r="95" spans="1:6" x14ac:dyDescent="0.25">
      <c r="A95" s="142" t="s">
        <v>164</v>
      </c>
      <c r="B95" s="142" t="s">
        <v>5</v>
      </c>
      <c r="C95" s="272">
        <v>30</v>
      </c>
      <c r="D95" s="194"/>
      <c r="E95" s="195"/>
      <c r="F95" s="195"/>
    </row>
    <row r="96" spans="1:6" x14ac:dyDescent="0.25">
      <c r="A96" s="142" t="s">
        <v>164</v>
      </c>
      <c r="B96" s="142" t="s">
        <v>192</v>
      </c>
      <c r="C96" s="272">
        <v>30</v>
      </c>
    </row>
    <row r="97" spans="1:10" x14ac:dyDescent="0.25">
      <c r="A97" s="142" t="s">
        <v>164</v>
      </c>
      <c r="B97" s="142" t="s">
        <v>193</v>
      </c>
      <c r="C97" s="272">
        <v>35</v>
      </c>
      <c r="J97" s="133"/>
    </row>
    <row r="98" spans="1:10" x14ac:dyDescent="0.25">
      <c r="A98" s="142" t="s">
        <v>164</v>
      </c>
      <c r="B98" s="142" t="s">
        <v>7</v>
      </c>
      <c r="C98" s="272">
        <v>5</v>
      </c>
      <c r="J98" s="133"/>
    </row>
    <row r="99" spans="1:10" x14ac:dyDescent="0.25">
      <c r="A99" s="142" t="s">
        <v>164</v>
      </c>
      <c r="B99" s="142" t="s">
        <v>8</v>
      </c>
      <c r="C99" s="272">
        <v>9</v>
      </c>
      <c r="J99" s="133"/>
    </row>
    <row r="100" spans="1:10" x14ac:dyDescent="0.25">
      <c r="A100" s="142" t="s">
        <v>164</v>
      </c>
      <c r="B100" s="142" t="s">
        <v>9</v>
      </c>
      <c r="C100" s="272">
        <v>6.5</v>
      </c>
      <c r="J100" s="133"/>
    </row>
    <row r="101" spans="1:10" x14ac:dyDescent="0.25">
      <c r="A101" s="142" t="s">
        <v>164</v>
      </c>
      <c r="B101" s="142" t="s">
        <v>6</v>
      </c>
      <c r="C101" s="272">
        <v>4.5</v>
      </c>
      <c r="J101" s="133"/>
    </row>
    <row r="102" spans="1:10" x14ac:dyDescent="0.25">
      <c r="A102" s="142" t="s">
        <v>164</v>
      </c>
      <c r="B102" s="142" t="s">
        <v>187</v>
      </c>
      <c r="C102" s="272"/>
      <c r="J102" s="133"/>
    </row>
    <row r="103" spans="1:10" x14ac:dyDescent="0.25">
      <c r="A103" s="142" t="s">
        <v>164</v>
      </c>
      <c r="B103" s="142" t="s">
        <v>188</v>
      </c>
      <c r="C103" s="272"/>
      <c r="J103" s="133"/>
    </row>
    <row r="104" spans="1:10" x14ac:dyDescent="0.25">
      <c r="A104" s="142" t="s">
        <v>164</v>
      </c>
      <c r="B104" s="142" t="s">
        <v>134</v>
      </c>
      <c r="C104" s="273"/>
    </row>
    <row r="105" spans="1:10" x14ac:dyDescent="0.25">
      <c r="A105" s="136" t="s">
        <v>155</v>
      </c>
      <c r="B105" s="136" t="str">
        <f>Calculations!C140</f>
        <v xml:space="preserve">Jetted Std Cable Inst'll </v>
      </c>
      <c r="C105" s="272">
        <v>20</v>
      </c>
      <c r="D105" s="192"/>
      <c r="E105" s="193"/>
      <c r="F105" s="197"/>
    </row>
    <row r="106" spans="1:10" x14ac:dyDescent="0.25">
      <c r="A106" s="136" t="s">
        <v>155</v>
      </c>
      <c r="B106" s="136" t="str">
        <f>Calculations!C141</f>
        <v xml:space="preserve">Pulled Std Cable Inst'll </v>
      </c>
      <c r="C106" s="272">
        <v>1.3</v>
      </c>
    </row>
    <row r="107" spans="1:10" x14ac:dyDescent="0.25">
      <c r="A107" s="136" t="s">
        <v>155</v>
      </c>
      <c r="B107" s="136" t="str">
        <f>Calculations!C142</f>
        <v xml:space="preserve">Std Cable Inst'll </v>
      </c>
      <c r="C107" s="272">
        <v>2.5</v>
      </c>
    </row>
    <row r="108" spans="1:10" x14ac:dyDescent="0.25">
      <c r="A108" s="136" t="s">
        <v>155</v>
      </c>
      <c r="B108" s="136" t="str">
        <f>Calculations!C143</f>
        <v>Jetted Micro Cable Inst'll</v>
      </c>
      <c r="C108" s="272">
        <v>2.2999999999999998</v>
      </c>
    </row>
    <row r="109" spans="1:10" x14ac:dyDescent="0.25">
      <c r="A109" s="136" t="s">
        <v>155</v>
      </c>
      <c r="B109" s="136" t="str">
        <f>Calculations!C144</f>
        <v xml:space="preserve">Pulled Micro Cable Inst'll </v>
      </c>
      <c r="C109" s="272">
        <v>1.4</v>
      </c>
    </row>
    <row r="110" spans="1:10" x14ac:dyDescent="0.25">
      <c r="A110" s="136" t="s">
        <v>155</v>
      </c>
      <c r="B110" s="136" t="str">
        <f>Calculations!C145</f>
        <v xml:space="preserve">Micro Cable Inst'll </v>
      </c>
      <c r="C110" s="272">
        <v>1.5</v>
      </c>
    </row>
    <row r="111" spans="1:10" x14ac:dyDescent="0.25">
      <c r="A111" s="136" t="s">
        <v>155</v>
      </c>
      <c r="B111" s="136" t="s">
        <v>156</v>
      </c>
      <c r="C111" s="272"/>
    </row>
  </sheetData>
  <autoFilter ref="A2:C111" xr:uid="{374FE740-7C55-4741-8936-581AC13988A8}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Input_Data">
                <anchor moveWithCells="1" sizeWithCells="1">
                  <from>
                    <xdr:col>8</xdr:col>
                    <xdr:colOff>104775</xdr:colOff>
                    <xdr:row>1</xdr:row>
                    <xdr:rowOff>38100</xdr:rowOff>
                  </from>
                  <to>
                    <xdr:col>10</xdr:col>
                    <xdr:colOff>9525</xdr:colOff>
                    <xdr:row>1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6" r:id="rId5" name="Button 6">
              <controlPr defaultSize="0" print="0" autoFill="0" autoPict="0" macro="[0]!Dashboard">
                <anchor moveWithCells="1" sizeWithCells="1">
                  <from>
                    <xdr:col>10</xdr:col>
                    <xdr:colOff>104775</xdr:colOff>
                    <xdr:row>1</xdr:row>
                    <xdr:rowOff>38100</xdr:rowOff>
                  </from>
                  <to>
                    <xdr:col>11</xdr:col>
                    <xdr:colOff>561975</xdr:colOff>
                    <xdr:row>1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8" r:id="rId6" name="Button 8">
              <controlPr defaultSize="0" print="0" autoFill="0" autoPict="0" macro="[0]!Reset_All_Prices">
                <anchor moveWithCells="1" sizeWithCells="1">
                  <from>
                    <xdr:col>6</xdr:col>
                    <xdr:colOff>152400</xdr:colOff>
                    <xdr:row>1</xdr:row>
                    <xdr:rowOff>47625</xdr:rowOff>
                  </from>
                  <to>
                    <xdr:col>8</xdr:col>
                    <xdr:colOff>28575</xdr:colOff>
                    <xdr:row>1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9" r:id="rId7" name="Button 9">
              <controlPr defaultSize="0" print="0" autoFill="0" autoPict="0" macro="[0]!Upgrades">
                <anchor moveWithCells="1" sizeWithCells="1">
                  <from>
                    <xdr:col>12</xdr:col>
                    <xdr:colOff>28575</xdr:colOff>
                    <xdr:row>1</xdr:row>
                    <xdr:rowOff>28575</xdr:rowOff>
                  </from>
                  <to>
                    <xdr:col>13</xdr:col>
                    <xdr:colOff>485775</xdr:colOff>
                    <xdr:row>1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0" r:id="rId8" name="Button 10">
              <controlPr defaultSize="0" print="0" autoFill="0" autoPict="0" macro="[0]!Calculations">
                <anchor moveWithCells="1" sizeWithCells="1">
                  <from>
                    <xdr:col>13</xdr:col>
                    <xdr:colOff>581025</xdr:colOff>
                    <xdr:row>1</xdr:row>
                    <xdr:rowOff>38100</xdr:rowOff>
                  </from>
                  <to>
                    <xdr:col>15</xdr:col>
                    <xdr:colOff>428625</xdr:colOff>
                    <xdr:row>1</xdr:row>
                    <xdr:rowOff>371475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67584E-751B-468A-988E-818FD1E67ADB}">
  <sheetPr codeName="Sheet8">
    <tabColor rgb="FFFFFF00"/>
  </sheetPr>
  <dimension ref="A1:AL148"/>
  <sheetViews>
    <sheetView showGridLines="0" zoomScaleNormal="100" workbookViewId="0">
      <pane xSplit="1" ySplit="1" topLeftCell="K2" activePane="bottomRight" state="frozen"/>
      <selection pane="topRight" activeCell="B1" sqref="B1"/>
      <selection pane="bottomLeft" activeCell="A2" sqref="A2"/>
      <selection pane="bottomRight" activeCell="AC12" sqref="AC12"/>
    </sheetView>
  </sheetViews>
  <sheetFormatPr defaultColWidth="8.85546875" defaultRowHeight="15" x14ac:dyDescent="0.25"/>
  <cols>
    <col min="1" max="1" width="32.42578125" customWidth="1"/>
    <col min="2" max="2" width="3.7109375" bestFit="1" customWidth="1"/>
    <col min="3" max="3" width="29.85546875" customWidth="1"/>
    <col min="4" max="4" width="11.42578125" style="14" customWidth="1"/>
    <col min="5" max="10" width="10.28515625" customWidth="1"/>
    <col min="11" max="11" width="6.28515625" customWidth="1"/>
    <col min="12" max="12" width="10.7109375" customWidth="1"/>
    <col min="13" max="13" width="10.28515625" customWidth="1"/>
    <col min="14" max="19" width="9.7109375" customWidth="1"/>
    <col min="20" max="20" width="9" customWidth="1"/>
    <col min="21" max="22" width="11.28515625" customWidth="1"/>
    <col min="24" max="24" width="12" bestFit="1" customWidth="1"/>
    <col min="25" max="25" width="11.85546875" style="12" customWidth="1"/>
    <col min="26" max="26" width="8" customWidth="1"/>
    <col min="27" max="27" width="16.42578125" customWidth="1"/>
    <col min="28" max="38" width="9.28515625" customWidth="1"/>
  </cols>
  <sheetData>
    <row r="1" spans="1:38" ht="39.75" customHeight="1" x14ac:dyDescent="0.25">
      <c r="A1" s="334" t="s">
        <v>203</v>
      </c>
      <c r="C1" s="339" t="s">
        <v>206</v>
      </c>
      <c r="D1" s="337"/>
      <c r="E1" s="338"/>
      <c r="F1" s="338"/>
      <c r="G1" s="338"/>
      <c r="H1" s="338"/>
      <c r="I1" s="338"/>
      <c r="J1" s="338"/>
      <c r="K1" s="338"/>
      <c r="L1" s="338"/>
      <c r="M1" s="338"/>
      <c r="N1" s="338"/>
      <c r="O1" s="338"/>
      <c r="P1" s="338"/>
      <c r="Q1" s="338"/>
      <c r="R1" s="338"/>
      <c r="S1" s="338"/>
      <c r="T1" s="338"/>
      <c r="U1" s="338"/>
      <c r="AA1" s="87" t="s">
        <v>131</v>
      </c>
      <c r="AB1" s="86">
        <f>'Input Data'!E22</f>
        <v>0</v>
      </c>
      <c r="AC1" s="86">
        <f>'Input Data'!E23</f>
        <v>1</v>
      </c>
      <c r="AD1" s="86">
        <f>'Input Data'!E24</f>
        <v>2</v>
      </c>
      <c r="AE1" s="86">
        <f>'Input Data'!E25</f>
        <v>3</v>
      </c>
      <c r="AF1" s="86">
        <f>'Input Data'!E26</f>
        <v>4</v>
      </c>
      <c r="AG1" s="86">
        <f>'Input Data'!E27</f>
        <v>5</v>
      </c>
      <c r="AH1" s="86">
        <f>'Input Data'!E28</f>
        <v>6</v>
      </c>
      <c r="AI1" s="86">
        <f>'Input Data'!E29</f>
        <v>7</v>
      </c>
      <c r="AJ1" s="86">
        <f>'Input Data'!E30</f>
        <v>8</v>
      </c>
      <c r="AK1" s="86">
        <f>'Input Data'!E31</f>
        <v>9</v>
      </c>
      <c r="AL1" s="86">
        <f>'Input Data'!E32</f>
        <v>10</v>
      </c>
    </row>
    <row r="2" spans="1:38" ht="25.5" customHeight="1" x14ac:dyDescent="0.25">
      <c r="A2" s="340"/>
      <c r="C2" s="204" t="s">
        <v>90</v>
      </c>
      <c r="D2" s="205" t="s">
        <v>137</v>
      </c>
      <c r="E2" s="205" t="s">
        <v>120</v>
      </c>
      <c r="F2" s="205" t="s">
        <v>121</v>
      </c>
      <c r="G2" s="205" t="s">
        <v>122</v>
      </c>
      <c r="H2" s="205" t="s">
        <v>125</v>
      </c>
      <c r="I2" s="205" t="s">
        <v>126</v>
      </c>
      <c r="J2" s="205" t="s">
        <v>127</v>
      </c>
      <c r="M2" s="212" t="s">
        <v>137</v>
      </c>
      <c r="N2" s="212" t="s">
        <v>120</v>
      </c>
      <c r="O2" s="212" t="s">
        <v>121</v>
      </c>
      <c r="P2" s="212" t="s">
        <v>122</v>
      </c>
      <c r="Q2" s="212" t="s">
        <v>125</v>
      </c>
      <c r="R2" s="212" t="s">
        <v>126</v>
      </c>
      <c r="S2" s="212" t="s">
        <v>127</v>
      </c>
      <c r="U2" s="221" t="s">
        <v>70</v>
      </c>
      <c r="V2" s="319"/>
      <c r="X2" s="219" t="s">
        <v>82</v>
      </c>
      <c r="Y2" s="219" t="s">
        <v>71</v>
      </c>
      <c r="Z2" s="28"/>
      <c r="AA2" s="87"/>
      <c r="AB2" s="216" t="str">
        <f>'Input Data'!F22</f>
        <v>Initial CapEx</v>
      </c>
      <c r="AC2" s="216" t="str">
        <f>'Input Data'!F23</f>
        <v>No Upgrade</v>
      </c>
      <c r="AD2" s="216" t="str">
        <f>'Input Data'!F24</f>
        <v>No Upgrade</v>
      </c>
      <c r="AE2" s="216" t="str">
        <f>'Input Data'!F25</f>
        <v>No Upgrade</v>
      </c>
      <c r="AF2" s="216" t="str">
        <f>'Input Data'!F26</f>
        <v>No Upgrade</v>
      </c>
      <c r="AG2" s="216" t="str">
        <f>'Input Data'!F27</f>
        <v>No Upgrade</v>
      </c>
      <c r="AH2" s="216" t="str">
        <f>'Input Data'!F28</f>
        <v>No Upgrade</v>
      </c>
      <c r="AI2" s="216" t="str">
        <f>'Input Data'!F29</f>
        <v>No Upgrade</v>
      </c>
      <c r="AJ2" s="216" t="str">
        <f>'Input Data'!F30</f>
        <v>No Upgrade</v>
      </c>
      <c r="AK2" s="216" t="str">
        <f>'Input Data'!F31</f>
        <v>Upgrade 1</v>
      </c>
      <c r="AL2" s="216" t="str">
        <f>'Input Data'!F32</f>
        <v>No Upgrade</v>
      </c>
    </row>
    <row r="3" spans="1:38" x14ac:dyDescent="0.25">
      <c r="A3" s="340"/>
      <c r="C3" s="103" t="s">
        <v>92</v>
      </c>
      <c r="D3" s="206">
        <f>VLOOKUP('Input Data'!F7,$C$38:$S$146,3,FALSE)</f>
        <v>2</v>
      </c>
      <c r="E3" s="206">
        <f>VLOOKUP(Upgrades!F4,$C$38:$S$146,4,FALSE)</f>
        <v>2</v>
      </c>
      <c r="F3" s="206">
        <f>VLOOKUP(Upgrades!F12,$C$38:$S$146,5,FALSE)</f>
        <v>0</v>
      </c>
      <c r="G3" s="206">
        <f>VLOOKUP(Upgrades!F20,$C$38:$S$146,6,FALSE)</f>
        <v>0</v>
      </c>
      <c r="H3" s="206">
        <f>VLOOKUP(Upgrades!F28,$C$38:$S$146,7,FALSE)</f>
        <v>0</v>
      </c>
      <c r="I3" s="206">
        <f>VLOOKUP(Upgrades!F36,$C$38:$S$146,8,FALSE)</f>
        <v>0</v>
      </c>
      <c r="J3" s="207">
        <v>0</v>
      </c>
      <c r="M3" s="213">
        <f>VLOOKUP('Input Data'!G7,$C$38:$S$146,3,FALSE)</f>
        <v>1.2</v>
      </c>
      <c r="N3" s="213">
        <f>VLOOKUP(Upgrades!G4,$C$38:$S$146,4,FALSE)</f>
        <v>0</v>
      </c>
      <c r="O3" s="213">
        <f>VLOOKUP(Upgrades!G12,$C$38:$S$146,5,FALSE)</f>
        <v>0</v>
      </c>
      <c r="P3" s="213">
        <f>VLOOKUP(Upgrades!G20,$C$38:$S$146,6,FALSE)</f>
        <v>0</v>
      </c>
      <c r="Q3" s="213">
        <f>VLOOKUP(Upgrades!G28,$C$38:$S$146,7,FALSE)</f>
        <v>0</v>
      </c>
      <c r="R3" s="213">
        <f>VLOOKUP(Upgrades!G36,$C$38:$S$146,8,FALSE)</f>
        <v>0</v>
      </c>
      <c r="S3" s="207">
        <v>0</v>
      </c>
      <c r="U3" s="207" t="s">
        <v>137</v>
      </c>
      <c r="V3" s="222"/>
      <c r="X3" s="220">
        <v>0</v>
      </c>
      <c r="Y3" s="220">
        <v>0</v>
      </c>
      <c r="AA3" s="87" t="s">
        <v>132</v>
      </c>
      <c r="AB3" s="88">
        <v>-2000</v>
      </c>
      <c r="AC3" s="88">
        <f>Dashboard!E7</f>
        <v>0</v>
      </c>
      <c r="AD3" s="88">
        <f>Dashboard!F7</f>
        <v>0</v>
      </c>
      <c r="AE3" s="88">
        <f>Dashboard!G7</f>
        <v>0</v>
      </c>
      <c r="AF3" s="88">
        <f>Dashboard!H7</f>
        <v>0</v>
      </c>
      <c r="AG3" s="88">
        <f>Dashboard!I7</f>
        <v>0</v>
      </c>
      <c r="AH3" s="88">
        <f>Dashboard!J7</f>
        <v>0</v>
      </c>
      <c r="AI3" s="88">
        <f>Dashboard!K7</f>
        <v>0</v>
      </c>
      <c r="AJ3" s="88">
        <f>Dashboard!L7</f>
        <v>0</v>
      </c>
      <c r="AK3" s="88">
        <f>Dashboard!M7</f>
        <v>0</v>
      </c>
      <c r="AL3" s="88">
        <f>Dashboard!N7</f>
        <v>6000</v>
      </c>
    </row>
    <row r="4" spans="1:38" x14ac:dyDescent="0.25">
      <c r="A4" s="340"/>
      <c r="C4" s="103" t="s">
        <v>160</v>
      </c>
      <c r="D4" s="206">
        <f>VLOOKUP('Input Data'!F9,C38:S146,3,FALSE)</f>
        <v>2</v>
      </c>
      <c r="E4" s="206">
        <f>VLOOKUP(Upgrades!F6,$C$38:$S$146,4,FALSE)</f>
        <v>1</v>
      </c>
      <c r="F4" s="206">
        <f>VLOOKUP(Upgrades!F14,$C$38:$S$146,5,FALSE)</f>
        <v>0</v>
      </c>
      <c r="G4" s="206">
        <f>VLOOKUP(Upgrades!F22,$C$38:$S$146,6,FALSE)</f>
        <v>0</v>
      </c>
      <c r="H4" s="206">
        <f>VLOOKUP(Upgrades!F30,$C$38:$S$146,7,FALSE)</f>
        <v>0</v>
      </c>
      <c r="I4" s="206">
        <f>VLOOKUP(Upgrades!F38,$C$38:$S$146,8,FALSE)</f>
        <v>0</v>
      </c>
      <c r="J4" s="207">
        <v>0</v>
      </c>
      <c r="M4" s="213">
        <f>VLOOKUP('Input Data'!G9,$C$38:$S$146,11,FALSE)</f>
        <v>1</v>
      </c>
      <c r="N4" s="213">
        <f>VLOOKUP(Upgrades!G6,$C$38:$S$146,12,FALSE)</f>
        <v>1</v>
      </c>
      <c r="O4" s="213">
        <f>VLOOKUP(Upgrades!G14,$C$38:$S$146,13,FALSE)</f>
        <v>0</v>
      </c>
      <c r="P4" s="213">
        <f>VLOOKUP(Upgrades!G22,$C$38:$S$146,14,FALSE)</f>
        <v>0</v>
      </c>
      <c r="Q4" s="213">
        <f>VLOOKUP(Upgrades!G30,$C$38:$S$146,15,FALSE)</f>
        <v>0</v>
      </c>
      <c r="R4" s="213">
        <f>VLOOKUP(Upgrades!G38,$C$38:$S$146,16,FALSE)</f>
        <v>0</v>
      </c>
      <c r="S4" s="207">
        <v>0</v>
      </c>
      <c r="U4" s="207" t="s">
        <v>127</v>
      </c>
      <c r="V4" s="222"/>
      <c r="X4" s="220">
        <v>1</v>
      </c>
      <c r="Y4" s="220">
        <v>1</v>
      </c>
      <c r="AA4" s="87" t="s">
        <v>133</v>
      </c>
      <c r="AB4" s="88">
        <v>-2000</v>
      </c>
      <c r="AC4" s="88">
        <f>Dashboard!E8</f>
        <v>0</v>
      </c>
      <c r="AD4" s="88">
        <f>Dashboard!F8</f>
        <v>0</v>
      </c>
      <c r="AE4" s="88">
        <f>Dashboard!G8</f>
        <v>0</v>
      </c>
      <c r="AF4" s="88">
        <f>Dashboard!H8</f>
        <v>0</v>
      </c>
      <c r="AG4" s="88">
        <f>Dashboard!I8</f>
        <v>0</v>
      </c>
      <c r="AH4" s="88">
        <f>Dashboard!J8</f>
        <v>0</v>
      </c>
      <c r="AI4" s="88">
        <f>Dashboard!K8</f>
        <v>0</v>
      </c>
      <c r="AJ4" s="88">
        <f>Dashboard!L8</f>
        <v>0</v>
      </c>
      <c r="AK4" s="88">
        <f>Dashboard!M8</f>
        <v>0</v>
      </c>
      <c r="AL4" s="88">
        <f>Dashboard!N8</f>
        <v>2313.259736577189</v>
      </c>
    </row>
    <row r="5" spans="1:38" x14ac:dyDescent="0.25">
      <c r="A5" s="340"/>
      <c r="C5" s="103" t="s">
        <v>11</v>
      </c>
      <c r="D5" s="206">
        <f>VLOOKUP('Input Data'!F11,C38:S146,3,FALSE)</f>
        <v>5</v>
      </c>
      <c r="E5" s="206">
        <f>VLOOKUP(Upgrades!F8,$C$38:$S$146,4,FALSE)</f>
        <v>5</v>
      </c>
      <c r="F5" s="206">
        <f>VLOOKUP(Upgrades!F16,$C$38:$S$146,5,FALSE)</f>
        <v>0</v>
      </c>
      <c r="G5" s="206">
        <f>VLOOKUP(Upgrades!F24,$C$38:$S$146,6,FALSE)</f>
        <v>0</v>
      </c>
      <c r="H5" s="206">
        <f>VLOOKUP(Upgrades!F32,$C$38:$S$146,7,FALSE)</f>
        <v>0</v>
      </c>
      <c r="I5" s="206">
        <f>VLOOKUP(Upgrades!F40,$C$38:$S$146,8,FALSE)</f>
        <v>0</v>
      </c>
      <c r="J5" s="207">
        <v>0</v>
      </c>
      <c r="M5" s="213">
        <f>VLOOKUP('Input Data'!G11,$C$38:$S$146,11,FALSE)</f>
        <v>5</v>
      </c>
      <c r="N5" s="213">
        <f>VLOOKUP(Upgrades!G8,$C$38:$S$146,12,FALSE)</f>
        <v>5</v>
      </c>
      <c r="O5" s="213">
        <f>VLOOKUP(Upgrades!G16,$C$38:$S$146,13,FALSE)</f>
        <v>0</v>
      </c>
      <c r="P5" s="213">
        <f>VLOOKUP(Upgrades!G24,$C$38:$S$146,14,FALSE)</f>
        <v>0</v>
      </c>
      <c r="Q5" s="213">
        <f>VLOOKUP(Upgrades!G32,$C$38:$S$146,15,FALSE)</f>
        <v>0</v>
      </c>
      <c r="R5" s="213">
        <f>VLOOKUP(Upgrades!G40,$C$38:$S$146,16,FALSE)</f>
        <v>0</v>
      </c>
      <c r="S5" s="207">
        <v>0</v>
      </c>
      <c r="U5" s="207" t="s">
        <v>120</v>
      </c>
      <c r="V5" s="222"/>
      <c r="X5" s="220">
        <v>2</v>
      </c>
      <c r="Y5" s="220">
        <v>2</v>
      </c>
      <c r="AA5" s="87" t="s">
        <v>154</v>
      </c>
      <c r="AB5" s="88">
        <f>SUM($AB$4:AB4)</f>
        <v>-2000</v>
      </c>
      <c r="AC5" s="88">
        <f>SUM($AB$4:AC4)</f>
        <v>-2000</v>
      </c>
      <c r="AD5" s="88">
        <f>SUM($AB$4:AD4)</f>
        <v>-2000</v>
      </c>
      <c r="AE5" s="88">
        <f>SUM($AB$4:AE4)</f>
        <v>-2000</v>
      </c>
      <c r="AF5" s="88">
        <f>SUM($AB$4:AF4)</f>
        <v>-2000</v>
      </c>
      <c r="AG5" s="88">
        <f>SUM($AB$4:AG4)</f>
        <v>-2000</v>
      </c>
      <c r="AH5" s="88">
        <f>SUM($AB$4:AH4)</f>
        <v>-2000</v>
      </c>
      <c r="AI5" s="88">
        <f>SUM($AB$4:AI4)</f>
        <v>-2000</v>
      </c>
      <c r="AJ5" s="88">
        <f>SUM($AB$4:AJ4)</f>
        <v>-2000</v>
      </c>
      <c r="AK5" s="88">
        <f>SUM($AB$4:AK4)</f>
        <v>-2000</v>
      </c>
      <c r="AL5" s="88">
        <f>SUM($AB$4:AL4)</f>
        <v>313.25973657718896</v>
      </c>
    </row>
    <row r="6" spans="1:38" x14ac:dyDescent="0.25">
      <c r="A6" s="340"/>
      <c r="C6" s="103" t="s">
        <v>164</v>
      </c>
      <c r="D6" s="206">
        <f>VLOOKUP('Input Data'!F12,C38:S146,3,FALSE)</f>
        <v>52.5</v>
      </c>
      <c r="E6" s="206">
        <f>VLOOKUP(Upgrades!F9,$C$38:$S$146,4,FALSE)</f>
        <v>52.5</v>
      </c>
      <c r="F6" s="206">
        <f>VLOOKUP(Upgrades!F17,$C$38:$S$146,5,FALSE)</f>
        <v>0</v>
      </c>
      <c r="G6" s="206">
        <f>VLOOKUP(Upgrades!F25,$C$38:$S$146,6,FALSE)</f>
        <v>0</v>
      </c>
      <c r="H6" s="206">
        <f>VLOOKUP(Upgrades!F33,$C$38:$S$146,7,FALSE)</f>
        <v>0</v>
      </c>
      <c r="I6" s="206">
        <f>VLOOKUP(Upgrades!F41,$C$38:$S$146,8,FALSE)</f>
        <v>0</v>
      </c>
      <c r="J6" s="207">
        <v>0</v>
      </c>
      <c r="M6" s="213">
        <f>VLOOKUP('Input Data'!G12,$C$38:$S$146,11,FALSE)</f>
        <v>73.5</v>
      </c>
      <c r="N6" s="213">
        <f>VLOOKUP(Upgrades!G9,$C$38:$S$146,12,FALSE)</f>
        <v>0</v>
      </c>
      <c r="O6" s="213">
        <f>VLOOKUP(Upgrades!G17,$C$38:$S$146,13,FALSE)</f>
        <v>0</v>
      </c>
      <c r="P6" s="213">
        <f>VLOOKUP(Upgrades!G25,$C$38:$S$146,14,FALSE)</f>
        <v>0</v>
      </c>
      <c r="Q6" s="213">
        <f>VLOOKUP(Upgrades!G33,$C$38:$S$146,15,FALSE)</f>
        <v>0</v>
      </c>
      <c r="R6" s="213">
        <f>VLOOKUP(Upgrades!G41,$C$38:$S$146,16,FALSE)</f>
        <v>0</v>
      </c>
      <c r="S6" s="207">
        <v>0</v>
      </c>
      <c r="U6" s="207" t="s">
        <v>121</v>
      </c>
      <c r="V6" s="222"/>
      <c r="X6" s="220">
        <v>3</v>
      </c>
      <c r="Y6" s="220">
        <v>3</v>
      </c>
      <c r="AA6" s="87" t="s">
        <v>124</v>
      </c>
      <c r="AB6" s="87"/>
      <c r="AC6" s="89">
        <f t="shared" ref="AC6:AL6" si="0">AC5/(-1*$AB$5)</f>
        <v>-1</v>
      </c>
      <c r="AD6" s="89">
        <f t="shared" si="0"/>
        <v>-1</v>
      </c>
      <c r="AE6" s="89">
        <f t="shared" si="0"/>
        <v>-1</v>
      </c>
      <c r="AF6" s="89">
        <f t="shared" si="0"/>
        <v>-1</v>
      </c>
      <c r="AG6" s="89">
        <f t="shared" si="0"/>
        <v>-1</v>
      </c>
      <c r="AH6" s="89">
        <f t="shared" si="0"/>
        <v>-1</v>
      </c>
      <c r="AI6" s="89">
        <f t="shared" si="0"/>
        <v>-1</v>
      </c>
      <c r="AJ6" s="89">
        <f t="shared" si="0"/>
        <v>-1</v>
      </c>
      <c r="AK6" s="89">
        <f t="shared" si="0"/>
        <v>-1</v>
      </c>
      <c r="AL6" s="89">
        <f t="shared" si="0"/>
        <v>0.15662986828859449</v>
      </c>
    </row>
    <row r="7" spans="1:38" x14ac:dyDescent="0.25">
      <c r="A7" s="340"/>
      <c r="C7" s="103" t="s">
        <v>155</v>
      </c>
      <c r="D7" s="206">
        <f>VLOOKUP('Input Data'!F13,C38:S146,3,FALSE)</f>
        <v>40</v>
      </c>
      <c r="E7" s="206">
        <f>VLOOKUP(Upgrades!F10,$C$38:$S$146,4,FALSE)</f>
        <v>1.3</v>
      </c>
      <c r="F7" s="206">
        <f>VLOOKUP(Upgrades!F18,$C$38:$S$146,5,FALSE)</f>
        <v>0</v>
      </c>
      <c r="G7" s="206">
        <f>VLOOKUP(Upgrades!F26,$C$38:$S$146,6,FALSE)</f>
        <v>0</v>
      </c>
      <c r="H7" s="206">
        <f>VLOOKUP(Upgrades!F34,$C$38:$S$146,7,FALSE)</f>
        <v>0</v>
      </c>
      <c r="I7" s="206">
        <f>VLOOKUP(Upgrades!F42,$C$38:$S$146,8,FALSE)</f>
        <v>0</v>
      </c>
      <c r="J7" s="207">
        <v>0</v>
      </c>
      <c r="M7" s="213">
        <f>VLOOKUP('Input Data'!G13,$C$38:$S$146,3,FALSE)</f>
        <v>40</v>
      </c>
      <c r="N7" s="213">
        <f>VLOOKUP(Upgrades!G10,$C$38:$S$146,4,FALSE)</f>
        <v>20</v>
      </c>
      <c r="O7" s="213">
        <f>VLOOKUP(Upgrades!G18,$C$38:$S$146,5,FALSE)</f>
        <v>0</v>
      </c>
      <c r="P7" s="213">
        <f>VLOOKUP(Upgrades!G26,$C$38:$S$146,6,FALSE)</f>
        <v>0</v>
      </c>
      <c r="Q7" s="213">
        <f>VLOOKUP(Upgrades!G34,$C$38:$S$146,7,FALSE)</f>
        <v>0</v>
      </c>
      <c r="R7" s="213">
        <f>VLOOKUP(Upgrades!G42,$C$38:$S$146,8,FALSE)</f>
        <v>0</v>
      </c>
      <c r="S7" s="207">
        <v>0</v>
      </c>
      <c r="U7" s="207" t="s">
        <v>122</v>
      </c>
      <c r="V7" s="222"/>
      <c r="X7" s="220">
        <v>4</v>
      </c>
      <c r="Y7" s="220">
        <v>4</v>
      </c>
      <c r="AA7" s="217" t="s">
        <v>141</v>
      </c>
      <c r="AB7" s="218">
        <f>SUM($AB$3:AB3)</f>
        <v>-2000</v>
      </c>
      <c r="AC7" s="218">
        <f>SUM($AB$3:AC3)</f>
        <v>-2000</v>
      </c>
      <c r="AD7" s="218">
        <f>SUM($AB$3:AD3)</f>
        <v>-2000</v>
      </c>
      <c r="AE7" s="218">
        <f>SUM($AB$3:AE3)</f>
        <v>-2000</v>
      </c>
      <c r="AF7" s="218">
        <f>SUM($AB$3:AF3)</f>
        <v>-2000</v>
      </c>
      <c r="AG7" s="218">
        <f>SUM($AB$3:AG3)</f>
        <v>-2000</v>
      </c>
      <c r="AH7" s="218">
        <f>SUM($AB$3:AH3)</f>
        <v>-2000</v>
      </c>
      <c r="AI7" s="218">
        <f>SUM($AB$3:AI3)</f>
        <v>-2000</v>
      </c>
      <c r="AJ7" s="218">
        <f>SUM($AB$3:AJ3)</f>
        <v>-2000</v>
      </c>
      <c r="AK7" s="218">
        <f>SUM($AB$3:AK3)</f>
        <v>-2000</v>
      </c>
      <c r="AL7" s="218">
        <f>SUM($AB$3:AL3)</f>
        <v>4000</v>
      </c>
    </row>
    <row r="8" spans="1:38" x14ac:dyDescent="0.25">
      <c r="A8" s="340"/>
      <c r="C8" s="208" t="s">
        <v>129</v>
      </c>
      <c r="D8" s="209">
        <f>SUM(D3:D7)</f>
        <v>101.5</v>
      </c>
      <c r="E8" s="209">
        <f t="shared" ref="E8:I8" si="1">SUM(E3:E7)</f>
        <v>61.8</v>
      </c>
      <c r="F8" s="209">
        <f t="shared" si="1"/>
        <v>0</v>
      </c>
      <c r="G8" s="209">
        <f t="shared" si="1"/>
        <v>0</v>
      </c>
      <c r="H8" s="209">
        <f t="shared" si="1"/>
        <v>0</v>
      </c>
      <c r="I8" s="209">
        <f t="shared" si="1"/>
        <v>0</v>
      </c>
      <c r="J8" s="209">
        <v>0</v>
      </c>
      <c r="M8" s="214">
        <f>SUM(M3:M7)</f>
        <v>120.7</v>
      </c>
      <c r="N8" s="214">
        <f t="shared" ref="N8:R8" si="2">SUM(N3:N7)</f>
        <v>26</v>
      </c>
      <c r="O8" s="214">
        <f t="shared" si="2"/>
        <v>0</v>
      </c>
      <c r="P8" s="214">
        <f t="shared" si="2"/>
        <v>0</v>
      </c>
      <c r="Q8" s="214">
        <f t="shared" si="2"/>
        <v>0</v>
      </c>
      <c r="R8" s="214">
        <f t="shared" si="2"/>
        <v>0</v>
      </c>
      <c r="S8" s="214">
        <v>0</v>
      </c>
      <c r="U8" s="207" t="s">
        <v>125</v>
      </c>
      <c r="V8" s="222"/>
      <c r="X8" s="220">
        <v>5</v>
      </c>
      <c r="Y8" s="220">
        <v>5</v>
      </c>
      <c r="AG8" s="74"/>
    </row>
    <row r="9" spans="1:38" x14ac:dyDescent="0.25">
      <c r="A9" s="340"/>
      <c r="C9" s="210" t="s">
        <v>142</v>
      </c>
      <c r="D9" s="211">
        <f>D8*$D$11</f>
        <v>101500</v>
      </c>
      <c r="E9" s="211">
        <f t="shared" ref="E9:J9" si="3">E8*$D$11</f>
        <v>61800</v>
      </c>
      <c r="F9" s="211">
        <f t="shared" si="3"/>
        <v>0</v>
      </c>
      <c r="G9" s="211">
        <f t="shared" si="3"/>
        <v>0</v>
      </c>
      <c r="H9" s="211">
        <f t="shared" si="3"/>
        <v>0</v>
      </c>
      <c r="I9" s="211">
        <f t="shared" si="3"/>
        <v>0</v>
      </c>
      <c r="J9" s="211">
        <f t="shared" si="3"/>
        <v>0</v>
      </c>
      <c r="M9" s="211">
        <f>M8*$D$11</f>
        <v>120700</v>
      </c>
      <c r="N9" s="211">
        <f t="shared" ref="N9:S9" si="4">N8*$D$11</f>
        <v>26000</v>
      </c>
      <c r="O9" s="309">
        <f t="shared" si="4"/>
        <v>0</v>
      </c>
      <c r="P9" s="309">
        <f t="shared" si="4"/>
        <v>0</v>
      </c>
      <c r="Q9" s="215">
        <f t="shared" si="4"/>
        <v>0</v>
      </c>
      <c r="R9" s="215">
        <f t="shared" si="4"/>
        <v>0</v>
      </c>
      <c r="S9" s="215">
        <f t="shared" si="4"/>
        <v>0</v>
      </c>
      <c r="U9" s="207" t="s">
        <v>126</v>
      </c>
      <c r="V9" s="222"/>
      <c r="X9" s="220">
        <v>6</v>
      </c>
      <c r="Y9" s="220">
        <v>6</v>
      </c>
    </row>
    <row r="10" spans="1:38" x14ac:dyDescent="0.25">
      <c r="A10" s="340"/>
      <c r="X10" s="220">
        <v>7</v>
      </c>
      <c r="Y10" s="220">
        <v>7</v>
      </c>
      <c r="AB10" s="75" t="s">
        <v>135</v>
      </c>
      <c r="AC10" s="76">
        <f>'Input Data'!G22</f>
        <v>10</v>
      </c>
      <c r="AG10" s="69" t="s">
        <v>143</v>
      </c>
      <c r="AH10" s="82"/>
      <c r="AI10" s="82"/>
      <c r="AJ10" s="82"/>
      <c r="AK10" s="82"/>
      <c r="AL10" s="82"/>
    </row>
    <row r="11" spans="1:38" x14ac:dyDescent="0.25">
      <c r="A11" s="340"/>
      <c r="C11" s="70" t="s">
        <v>130</v>
      </c>
      <c r="D11" s="71">
        <f>'Input Data'!F3</f>
        <v>1000</v>
      </c>
      <c r="X11" s="220">
        <v>8</v>
      </c>
      <c r="Y11" s="220">
        <v>8</v>
      </c>
      <c r="AB11" s="75" t="s">
        <v>136</v>
      </c>
      <c r="AC11" s="84">
        <f>HLOOKUP(AC10,AA1:AL6,5, FALSE)</f>
        <v>313.25973657718896</v>
      </c>
      <c r="AD11" s="83" t="s">
        <v>138</v>
      </c>
      <c r="AG11" s="82" t="s">
        <v>144</v>
      </c>
      <c r="AH11" s="82"/>
      <c r="AI11" s="82"/>
      <c r="AJ11" s="82"/>
      <c r="AK11" s="82"/>
      <c r="AL11" s="82"/>
    </row>
    <row r="12" spans="1:38" x14ac:dyDescent="0.25">
      <c r="A12" s="340"/>
      <c r="L12" s="308">
        <f>'Input Data'!E22</f>
        <v>0</v>
      </c>
      <c r="M12" s="308">
        <f>'Input Data'!E23</f>
        <v>1</v>
      </c>
      <c r="N12" s="308">
        <f>'Input Data'!E24</f>
        <v>2</v>
      </c>
      <c r="O12" s="308">
        <f>'Input Data'!E25</f>
        <v>3</v>
      </c>
      <c r="P12" s="308">
        <f>'Input Data'!E26</f>
        <v>4</v>
      </c>
      <c r="Q12" s="308">
        <f>'Input Data'!E27</f>
        <v>5</v>
      </c>
      <c r="R12" s="308">
        <f>'Input Data'!E28</f>
        <v>6</v>
      </c>
      <c r="S12" s="308">
        <f>'Input Data'!E29</f>
        <v>7</v>
      </c>
      <c r="T12" s="308">
        <f>'Input Data'!E30</f>
        <v>8</v>
      </c>
      <c r="U12" s="308">
        <f>'Input Data'!E31</f>
        <v>9</v>
      </c>
      <c r="V12" s="308">
        <f>'Input Data'!E32</f>
        <v>10</v>
      </c>
      <c r="X12" s="220">
        <v>9</v>
      </c>
      <c r="Y12" s="220">
        <v>9</v>
      </c>
      <c r="AB12" s="75" t="s">
        <v>124</v>
      </c>
      <c r="AC12" s="77">
        <f>HLOOKUP(AC10,AA1:AL6,6, FALSE)</f>
        <v>0.15662986828859449</v>
      </c>
      <c r="AD12" s="83" t="s">
        <v>139</v>
      </c>
      <c r="AG12" s="82" t="s">
        <v>150</v>
      </c>
      <c r="AH12" s="82"/>
      <c r="AI12" s="82"/>
      <c r="AJ12" s="82"/>
      <c r="AK12" s="82"/>
      <c r="AL12" s="82"/>
    </row>
    <row r="13" spans="1:38" x14ac:dyDescent="0.25">
      <c r="A13" s="340"/>
      <c r="D13" s="306" t="s">
        <v>137</v>
      </c>
      <c r="E13" s="306" t="s">
        <v>120</v>
      </c>
      <c r="F13" s="306" t="s">
        <v>121</v>
      </c>
      <c r="G13" s="306" t="s">
        <v>122</v>
      </c>
      <c r="H13" s="306" t="s">
        <v>125</v>
      </c>
      <c r="I13" s="307" t="s">
        <v>126</v>
      </c>
      <c r="J13" s="310" t="s">
        <v>127</v>
      </c>
      <c r="L13" s="308" t="str">
        <f>'Input Data'!F22</f>
        <v>Initial CapEx</v>
      </c>
      <c r="M13" s="308" t="str">
        <f>'Input Data'!F23</f>
        <v>No Upgrade</v>
      </c>
      <c r="N13" s="308" t="str">
        <f>'Input Data'!F24</f>
        <v>No Upgrade</v>
      </c>
      <c r="O13" s="308" t="str">
        <f>'Input Data'!F25</f>
        <v>No Upgrade</v>
      </c>
      <c r="P13" s="308" t="str">
        <f>'Input Data'!F26</f>
        <v>No Upgrade</v>
      </c>
      <c r="Q13" s="308" t="str">
        <f>'Input Data'!F27</f>
        <v>No Upgrade</v>
      </c>
      <c r="R13" s="308" t="str">
        <f>'Input Data'!F28</f>
        <v>No Upgrade</v>
      </c>
      <c r="S13" s="308" t="str">
        <f>'Input Data'!F29</f>
        <v>No Upgrade</v>
      </c>
      <c r="T13" s="308" t="str">
        <f>'Input Data'!F30</f>
        <v>No Upgrade</v>
      </c>
      <c r="U13" s="308" t="str">
        <f>'Input Data'!F31</f>
        <v>Upgrade 1</v>
      </c>
      <c r="V13" s="308" t="str">
        <f>'Input Data'!F32</f>
        <v>No Upgrade</v>
      </c>
      <c r="X13" s="220">
        <v>10</v>
      </c>
      <c r="Y13" s="220">
        <v>10</v>
      </c>
      <c r="AB13" s="75" t="s">
        <v>77</v>
      </c>
      <c r="AC13" s="85">
        <f>IRR(AB3:AL3)</f>
        <v>0.11612317403390437</v>
      </c>
      <c r="AD13" s="83" t="s">
        <v>147</v>
      </c>
      <c r="AG13" s="82" t="s">
        <v>145</v>
      </c>
      <c r="AH13" s="82"/>
      <c r="AI13" s="82"/>
      <c r="AJ13" s="82"/>
      <c r="AK13" s="82"/>
      <c r="AL13" s="82"/>
    </row>
    <row r="14" spans="1:38" x14ac:dyDescent="0.25">
      <c r="A14" s="340"/>
      <c r="C14" s="109" t="s">
        <v>152</v>
      </c>
      <c r="D14" s="72">
        <f t="shared" ref="D14:I14" si="5">D3*$D$11</f>
        <v>2000</v>
      </c>
      <c r="E14" s="72">
        <f t="shared" si="5"/>
        <v>2000</v>
      </c>
      <c r="F14" s="72">
        <f t="shared" si="5"/>
        <v>0</v>
      </c>
      <c r="G14" s="72">
        <f t="shared" si="5"/>
        <v>0</v>
      </c>
      <c r="H14" s="72">
        <f t="shared" si="5"/>
        <v>0</v>
      </c>
      <c r="I14" s="72">
        <f t="shared" si="5"/>
        <v>0</v>
      </c>
      <c r="J14" s="312">
        <v>0</v>
      </c>
      <c r="L14" s="326">
        <f>D14</f>
        <v>2000</v>
      </c>
      <c r="M14" s="327">
        <f>HLOOKUP('Input Data'!F23,Calculations!$C$2:$J$18,13,FALSE)</f>
        <v>0</v>
      </c>
      <c r="N14" s="327">
        <f>HLOOKUP('Input Data'!F$24,Calculations!$C$2:$J$18,13,FALSE)</f>
        <v>0</v>
      </c>
      <c r="O14" s="327">
        <f>HLOOKUP('Input Data'!F$25,Calculations!$C$2:$J$18,13,FALSE)</f>
        <v>0</v>
      </c>
      <c r="P14" s="327">
        <f>HLOOKUP('Input Data'!F$26,Calculations!$C$2:$J$18,13,FALSE)</f>
        <v>0</v>
      </c>
      <c r="Q14" s="327">
        <f>HLOOKUP('Input Data'!F$27,Calculations!$C$2:$J$18,13,FALSE)</f>
        <v>0</v>
      </c>
      <c r="R14" s="327">
        <f>HLOOKUP('Input Data'!F$28,Calculations!$C$2:$J$18,13,FALSE)</f>
        <v>0</v>
      </c>
      <c r="S14" s="327">
        <f>HLOOKUP('Input Data'!F$29,Calculations!$C$2:$J$18,13,FALSE)</f>
        <v>0</v>
      </c>
      <c r="T14" s="327">
        <f>HLOOKUP('Input Data'!F$30,Calculations!$C$2:$J$18,13,FALSE)</f>
        <v>0</v>
      </c>
      <c r="U14" s="327">
        <f>HLOOKUP('Input Data'!F$31,Calculations!$C$2:$J$18,13,FALSE)</f>
        <v>2000</v>
      </c>
      <c r="V14" s="327">
        <f>HLOOKUP('Input Data'!F$32,Calculations!$C$2:$J$18,13,FALSE)</f>
        <v>0</v>
      </c>
      <c r="X14" s="220">
        <v>11</v>
      </c>
      <c r="Y14" s="220">
        <v>11</v>
      </c>
      <c r="AC14">
        <f>19000/2000</f>
        <v>9.5</v>
      </c>
      <c r="AG14" s="82" t="s">
        <v>146</v>
      </c>
      <c r="AH14" s="82"/>
      <c r="AI14" s="82"/>
      <c r="AJ14" s="82"/>
      <c r="AK14" s="82"/>
      <c r="AL14" s="82"/>
    </row>
    <row r="15" spans="1:38" x14ac:dyDescent="0.25">
      <c r="A15" s="340"/>
      <c r="C15" s="109" t="s">
        <v>153</v>
      </c>
      <c r="D15" s="72">
        <f t="shared" ref="D15:D18" si="6">D4*$D$11</f>
        <v>2000</v>
      </c>
      <c r="E15" s="72">
        <f t="shared" ref="E15:I18" si="7">E4*$D$11</f>
        <v>1000</v>
      </c>
      <c r="F15" s="72">
        <f t="shared" si="7"/>
        <v>0</v>
      </c>
      <c r="G15" s="72">
        <f t="shared" si="7"/>
        <v>0</v>
      </c>
      <c r="H15" s="72">
        <f t="shared" si="7"/>
        <v>0</v>
      </c>
      <c r="I15" s="72">
        <f t="shared" si="7"/>
        <v>0</v>
      </c>
      <c r="J15" s="314">
        <v>0</v>
      </c>
      <c r="L15" s="326">
        <f>D15</f>
        <v>2000</v>
      </c>
      <c r="M15" s="327">
        <f>HLOOKUP('Input Data'!F$23,Calculations!C$2:J$18,14,FALSE)</f>
        <v>0</v>
      </c>
      <c r="N15" s="327">
        <f>HLOOKUP('Input Data'!F$24,Calculations!$C$2:$J$18,14,FALSE)</f>
        <v>0</v>
      </c>
      <c r="O15" s="327">
        <f>HLOOKUP('Input Data'!F$25,Calculations!$C$2:$J$18,14,FALSE)</f>
        <v>0</v>
      </c>
      <c r="P15" s="327">
        <f>HLOOKUP('Input Data'!F$26,Calculations!$C$2:$J$18,14,FALSE)</f>
        <v>0</v>
      </c>
      <c r="Q15" s="327">
        <f>HLOOKUP('Input Data'!F$27,Calculations!$C$2:$J$18,14,FALSE)</f>
        <v>0</v>
      </c>
      <c r="R15" s="327">
        <f>HLOOKUP('Input Data'!F$28,Calculations!$C$2:$J$18,14,FALSE)</f>
        <v>0</v>
      </c>
      <c r="S15" s="327">
        <f>HLOOKUP('Input Data'!F$29,Calculations!$C$2:$J$18,14,FALSE)</f>
        <v>0</v>
      </c>
      <c r="T15" s="327">
        <f>HLOOKUP('Input Data'!F$30,Calculations!$C$2:$J$18,14,FALSE)</f>
        <v>0</v>
      </c>
      <c r="U15" s="327">
        <f>HLOOKUP('Input Data'!F$31,Calculations!$C$2:$J$18,14,FALSE)</f>
        <v>1000</v>
      </c>
      <c r="V15" s="327">
        <f>HLOOKUP('Input Data'!F$32,Calculations!$C$2:$J$18,14,FALSE)</f>
        <v>0</v>
      </c>
      <c r="X15" s="220">
        <v>12</v>
      </c>
      <c r="Y15" s="220">
        <v>12</v>
      </c>
    </row>
    <row r="16" spans="1:38" x14ac:dyDescent="0.25">
      <c r="A16" s="340"/>
      <c r="C16" s="109" t="s">
        <v>174</v>
      </c>
      <c r="D16" s="72">
        <f t="shared" si="6"/>
        <v>5000</v>
      </c>
      <c r="E16" s="72">
        <f t="shared" si="7"/>
        <v>5000</v>
      </c>
      <c r="F16" s="72">
        <f t="shared" si="7"/>
        <v>0</v>
      </c>
      <c r="G16" s="72">
        <f t="shared" si="7"/>
        <v>0</v>
      </c>
      <c r="H16" s="72">
        <f t="shared" si="7"/>
        <v>0</v>
      </c>
      <c r="I16" s="72">
        <f t="shared" si="7"/>
        <v>0</v>
      </c>
      <c r="J16" s="314">
        <v>0</v>
      </c>
      <c r="L16" s="326">
        <f>D16</f>
        <v>5000</v>
      </c>
      <c r="M16" s="327">
        <f>HLOOKUP('Input Data'!F$23,Calculations!C$2:J$18,15,FALSE)</f>
        <v>0</v>
      </c>
      <c r="N16" s="327">
        <f>HLOOKUP('Input Data'!F$24,Calculations!$C$2:$J$18,15,FALSE)</f>
        <v>0</v>
      </c>
      <c r="O16" s="327">
        <f>HLOOKUP('Input Data'!F$25,Calculations!$C$2:$J$18,15,FALSE)</f>
        <v>0</v>
      </c>
      <c r="P16" s="327">
        <f>HLOOKUP('Input Data'!F$26,Calculations!$C$2:$J$18,15,FALSE)</f>
        <v>0</v>
      </c>
      <c r="Q16" s="327">
        <f>HLOOKUP('Input Data'!F$27,Calculations!$C$2:$J$18,15,FALSE)</f>
        <v>0</v>
      </c>
      <c r="R16" s="327">
        <f>HLOOKUP('Input Data'!F$28,Calculations!$C$2:$J$18,15,FALSE)</f>
        <v>0</v>
      </c>
      <c r="S16" s="327">
        <f>HLOOKUP('Input Data'!F$29,Calculations!$C$2:$J$18,15,FALSE)</f>
        <v>0</v>
      </c>
      <c r="T16" s="327">
        <f>HLOOKUP('Input Data'!F$30,Calculations!$C$2:$J$18,15,FALSE)</f>
        <v>0</v>
      </c>
      <c r="U16" s="327">
        <f>HLOOKUP('Input Data'!F$31,Calculations!$C$2:$J$18,15,FALSE)</f>
        <v>5000</v>
      </c>
      <c r="V16" s="327">
        <f>HLOOKUP('Input Data'!F$32,Calculations!$C$2:$J$18,15,FALSE)</f>
        <v>0</v>
      </c>
      <c r="X16" s="220">
        <v>13</v>
      </c>
      <c r="Y16" s="220">
        <v>13</v>
      </c>
      <c r="AE16" s="74"/>
    </row>
    <row r="17" spans="1:35" x14ac:dyDescent="0.25">
      <c r="A17" s="340"/>
      <c r="C17" s="109" t="s">
        <v>172</v>
      </c>
      <c r="D17" s="72">
        <f t="shared" si="6"/>
        <v>52500</v>
      </c>
      <c r="E17" s="72">
        <f t="shared" si="7"/>
        <v>52500</v>
      </c>
      <c r="F17" s="72">
        <f t="shared" si="7"/>
        <v>0</v>
      </c>
      <c r="G17" s="72">
        <f t="shared" si="7"/>
        <v>0</v>
      </c>
      <c r="H17" s="72">
        <f t="shared" si="7"/>
        <v>0</v>
      </c>
      <c r="I17" s="72">
        <f t="shared" si="7"/>
        <v>0</v>
      </c>
      <c r="J17" s="314">
        <v>0</v>
      </c>
      <c r="L17" s="326">
        <f>D17</f>
        <v>52500</v>
      </c>
      <c r="M17" s="327">
        <f>HLOOKUP('Input Data'!F$23,Calculations!C$2:J$18,16,FALSE)</f>
        <v>0</v>
      </c>
      <c r="N17" s="327">
        <f>HLOOKUP('Input Data'!F$24,Calculations!$C$2:$J$18,16,FALSE)</f>
        <v>0</v>
      </c>
      <c r="O17" s="327">
        <f>HLOOKUP('Input Data'!F$25,Calculations!$C$2:$J$18,16,FALSE)</f>
        <v>0</v>
      </c>
      <c r="P17" s="327">
        <f>HLOOKUP('Input Data'!F$26,Calculations!$C$2:$J$18,16,FALSE)</f>
        <v>0</v>
      </c>
      <c r="Q17" s="327">
        <f>HLOOKUP('Input Data'!F$27,Calculations!$C$2:$J$18,16,FALSE)</f>
        <v>0</v>
      </c>
      <c r="R17" s="327">
        <f>HLOOKUP('Input Data'!F$28,Calculations!$C$2:$J$18,16,FALSE)</f>
        <v>0</v>
      </c>
      <c r="S17" s="327">
        <f>HLOOKUP('Input Data'!F$29,Calculations!$C$2:$J$18,16,FALSE)</f>
        <v>0</v>
      </c>
      <c r="T17" s="327">
        <f>HLOOKUP('Input Data'!F$30,Calculations!$C$2:$J$18,16,FALSE)</f>
        <v>0</v>
      </c>
      <c r="U17" s="327">
        <f>HLOOKUP('Input Data'!F$31,Calculations!$C$2:$J$18,16,FALSE)</f>
        <v>52500</v>
      </c>
      <c r="V17" s="327">
        <f>HLOOKUP('Input Data'!F$32,Calculations!$C$2:$J$18,16,FALSE)</f>
        <v>0</v>
      </c>
      <c r="X17" s="220">
        <v>14</v>
      </c>
      <c r="Y17" s="220">
        <v>14</v>
      </c>
      <c r="AE17" s="74"/>
    </row>
    <row r="18" spans="1:35" x14ac:dyDescent="0.25">
      <c r="A18" s="340"/>
      <c r="C18" s="109" t="s">
        <v>173</v>
      </c>
      <c r="D18" s="107">
        <f t="shared" si="6"/>
        <v>40000</v>
      </c>
      <c r="E18" s="107">
        <f t="shared" si="7"/>
        <v>1300</v>
      </c>
      <c r="F18" s="107">
        <f t="shared" si="7"/>
        <v>0</v>
      </c>
      <c r="G18" s="107">
        <f t="shared" si="7"/>
        <v>0</v>
      </c>
      <c r="H18" s="107">
        <f t="shared" si="7"/>
        <v>0</v>
      </c>
      <c r="I18" s="107">
        <f t="shared" si="7"/>
        <v>0</v>
      </c>
      <c r="J18" s="313">
        <v>0</v>
      </c>
      <c r="L18" s="326">
        <f>D18</f>
        <v>40000</v>
      </c>
      <c r="M18" s="327">
        <f>HLOOKUP('Input Data'!F$23,Calculations!C$2:J$18,17,FALSE)</f>
        <v>0</v>
      </c>
      <c r="N18" s="327">
        <f>HLOOKUP('Input Data'!F$24,Calculations!$C$2:$J$18,17,FALSE)</f>
        <v>0</v>
      </c>
      <c r="O18" s="327">
        <f>HLOOKUP('Input Data'!F$25,Calculations!$C$2:$J$18,17,FALSE)</f>
        <v>0</v>
      </c>
      <c r="P18" s="327">
        <f>HLOOKUP('Input Data'!F$26,Calculations!$C$2:$J$18,17,FALSE)</f>
        <v>0</v>
      </c>
      <c r="Q18" s="327">
        <f>HLOOKUP('Input Data'!F$27,Calculations!$C$2:$J$18,17,FALSE)</f>
        <v>0</v>
      </c>
      <c r="R18" s="327">
        <f>HLOOKUP('Input Data'!F$28,Calculations!$C$2:$J$18,17,FALSE)</f>
        <v>0</v>
      </c>
      <c r="S18" s="327">
        <f>HLOOKUP('Input Data'!F$29,Calculations!$C$2:$J$18,17,FALSE)</f>
        <v>0</v>
      </c>
      <c r="T18" s="327">
        <f>HLOOKUP('Input Data'!F$30,Calculations!$C$2:$J$18,17,FALSE)</f>
        <v>0</v>
      </c>
      <c r="U18" s="327">
        <f>HLOOKUP('Input Data'!F$31,Calculations!$C$2:$J$18,17,FALSE)</f>
        <v>1300</v>
      </c>
      <c r="V18" s="327">
        <f>HLOOKUP('Input Data'!F$32,Calculations!$C$2:$J$18,17,FALSE)</f>
        <v>0</v>
      </c>
      <c r="X18" s="220">
        <v>15</v>
      </c>
      <c r="Y18" s="220">
        <v>15</v>
      </c>
    </row>
    <row r="19" spans="1:35" x14ac:dyDescent="0.25">
      <c r="A19" s="340"/>
      <c r="B19" s="222"/>
      <c r="D19"/>
      <c r="L19" s="308">
        <f t="shared" ref="L19:V19" si="8">L12</f>
        <v>0</v>
      </c>
      <c r="M19" s="308">
        <f t="shared" si="8"/>
        <v>1</v>
      </c>
      <c r="N19" s="308">
        <f t="shared" si="8"/>
        <v>2</v>
      </c>
      <c r="O19" s="308">
        <f t="shared" si="8"/>
        <v>3</v>
      </c>
      <c r="P19" s="308">
        <f t="shared" si="8"/>
        <v>4</v>
      </c>
      <c r="Q19" s="308">
        <f t="shared" si="8"/>
        <v>5</v>
      </c>
      <c r="R19" s="308">
        <f t="shared" si="8"/>
        <v>6</v>
      </c>
      <c r="S19" s="308">
        <f t="shared" si="8"/>
        <v>7</v>
      </c>
      <c r="T19" s="308">
        <f t="shared" si="8"/>
        <v>8</v>
      </c>
      <c r="U19" s="308">
        <f t="shared" si="8"/>
        <v>9</v>
      </c>
      <c r="V19" s="308">
        <f t="shared" si="8"/>
        <v>10</v>
      </c>
      <c r="X19" s="220" t="s">
        <v>4</v>
      </c>
      <c r="Y19" s="220" t="s">
        <v>4</v>
      </c>
    </row>
    <row r="20" spans="1:35" ht="14.45" customHeight="1" x14ac:dyDescent="0.25">
      <c r="A20" s="340"/>
      <c r="D20" s="306" t="s">
        <v>137</v>
      </c>
      <c r="E20" s="306" t="s">
        <v>120</v>
      </c>
      <c r="F20" s="306" t="s">
        <v>121</v>
      </c>
      <c r="G20" s="306" t="s">
        <v>122</v>
      </c>
      <c r="H20" s="306" t="s">
        <v>125</v>
      </c>
      <c r="I20" s="307" t="s">
        <v>126</v>
      </c>
      <c r="J20" s="311" t="s">
        <v>127</v>
      </c>
      <c r="L20" s="308" t="str">
        <f t="shared" ref="L20:V20" si="9">L13</f>
        <v>Initial CapEx</v>
      </c>
      <c r="M20" s="308" t="str">
        <f t="shared" si="9"/>
        <v>No Upgrade</v>
      </c>
      <c r="N20" s="308" t="str">
        <f t="shared" si="9"/>
        <v>No Upgrade</v>
      </c>
      <c r="O20" s="308" t="str">
        <f t="shared" si="9"/>
        <v>No Upgrade</v>
      </c>
      <c r="P20" s="308" t="str">
        <f t="shared" si="9"/>
        <v>No Upgrade</v>
      </c>
      <c r="Q20" s="308" t="str">
        <f t="shared" si="9"/>
        <v>No Upgrade</v>
      </c>
      <c r="R20" s="308" t="str">
        <f t="shared" si="9"/>
        <v>No Upgrade</v>
      </c>
      <c r="S20" s="308" t="str">
        <f t="shared" si="9"/>
        <v>No Upgrade</v>
      </c>
      <c r="T20" s="308" t="str">
        <f t="shared" si="9"/>
        <v>No Upgrade</v>
      </c>
      <c r="U20" s="308" t="str">
        <f t="shared" si="9"/>
        <v>Upgrade 1</v>
      </c>
      <c r="V20" s="308" t="str">
        <f t="shared" si="9"/>
        <v>No Upgrade</v>
      </c>
    </row>
    <row r="21" spans="1:35" ht="14.45" customHeight="1" x14ac:dyDescent="0.25">
      <c r="A21" s="340"/>
      <c r="C21" s="109" t="s">
        <v>152</v>
      </c>
      <c r="D21" s="73">
        <f t="shared" ref="D21:I25" si="10">M3*$D$11</f>
        <v>1200</v>
      </c>
      <c r="E21" s="73">
        <f t="shared" si="10"/>
        <v>0</v>
      </c>
      <c r="F21" s="73">
        <f t="shared" si="10"/>
        <v>0</v>
      </c>
      <c r="G21" s="73">
        <f t="shared" si="10"/>
        <v>0</v>
      </c>
      <c r="H21" s="73">
        <f t="shared" si="10"/>
        <v>0</v>
      </c>
      <c r="I21" s="73">
        <f t="shared" si="10"/>
        <v>0</v>
      </c>
      <c r="J21" s="316">
        <v>0</v>
      </c>
      <c r="L21" s="322">
        <f>D21</f>
        <v>1200</v>
      </c>
      <c r="M21" s="324">
        <f>HLOOKUP('Input Data'!F$23,Calculations!$C$2:$J$25,20,FALSE)</f>
        <v>0</v>
      </c>
      <c r="N21" s="324">
        <f>HLOOKUP('Input Data'!F$24,Calculations!$C$2:$J$25,20,FALSE)</f>
        <v>0</v>
      </c>
      <c r="O21" s="324">
        <f>HLOOKUP('Input Data'!F$25,Calculations!$C$2:$J$25,20,FALSE)</f>
        <v>0</v>
      </c>
      <c r="P21" s="324">
        <f>HLOOKUP('Input Data'!F$26,Calculations!$C$2:$J$25,20,FALSE)</f>
        <v>0</v>
      </c>
      <c r="Q21" s="324">
        <f>HLOOKUP('Input Data'!F$27,Calculations!$C$2:$J$25,20,FALSE)</f>
        <v>0</v>
      </c>
      <c r="R21" s="324">
        <f>HLOOKUP('Input Data'!F$28,Calculations!$C$2:$J$25,20,FALSE)</f>
        <v>0</v>
      </c>
      <c r="S21" s="324">
        <f>HLOOKUP('Input Data'!F$29,Calculations!$C$2:$J$25,20,FALSE)</f>
        <v>0</v>
      </c>
      <c r="T21" s="324">
        <f>HLOOKUP('Input Data'!F$30,Calculations!$C$2:$J$25,20,FALSE)</f>
        <v>0</v>
      </c>
      <c r="U21" s="324">
        <f>HLOOKUP('Input Data'!F$31,Calculations!$C$2:$J$25,20,FALSE)</f>
        <v>0</v>
      </c>
      <c r="V21" s="324">
        <f>HLOOKUP('Input Data'!F$32,Calculations!$C$2:$J$25,20,FALSE)</f>
        <v>0</v>
      </c>
    </row>
    <row r="22" spans="1:35" ht="14.45" customHeight="1" x14ac:dyDescent="0.25">
      <c r="A22" s="340"/>
      <c r="C22" s="109" t="s">
        <v>153</v>
      </c>
      <c r="D22" s="73">
        <f t="shared" si="10"/>
        <v>1000</v>
      </c>
      <c r="E22" s="73">
        <f t="shared" si="10"/>
        <v>1000</v>
      </c>
      <c r="F22" s="73">
        <f t="shared" si="10"/>
        <v>0</v>
      </c>
      <c r="G22" s="73">
        <f t="shared" si="10"/>
        <v>0</v>
      </c>
      <c r="H22" s="73">
        <f t="shared" si="10"/>
        <v>0</v>
      </c>
      <c r="I22" s="315">
        <f t="shared" si="10"/>
        <v>0</v>
      </c>
      <c r="J22" s="318">
        <v>0</v>
      </c>
      <c r="L22" s="325">
        <f t="shared" ref="L22:L25" si="11">D22</f>
        <v>1000</v>
      </c>
      <c r="M22" s="324">
        <f>HLOOKUP('Input Data'!F$23,Calculations!$C$2:$J$25,21,FALSE)</f>
        <v>0</v>
      </c>
      <c r="N22" s="324">
        <f>HLOOKUP('Input Data'!F$24,Calculations!$C$2:$J$25,21,FALSE)</f>
        <v>0</v>
      </c>
      <c r="O22" s="324">
        <f>HLOOKUP('Input Data'!F$25,Calculations!$C$2:$J$25,21,FALSE)</f>
        <v>0</v>
      </c>
      <c r="P22" s="324">
        <f>HLOOKUP('Input Data'!F$26,Calculations!$C$2:$J$25,21,FALSE)</f>
        <v>0</v>
      </c>
      <c r="Q22" s="324">
        <f>HLOOKUP('Input Data'!F$27,Calculations!$C$2:$J$25,21,FALSE)</f>
        <v>0</v>
      </c>
      <c r="R22" s="324">
        <f>HLOOKUP('Input Data'!F$28,Calculations!$C$2:$J$25,21,FALSE)</f>
        <v>0</v>
      </c>
      <c r="S22" s="324">
        <f>HLOOKUP('Input Data'!F$29,Calculations!$C$2:$J$25,21,FALSE)</f>
        <v>0</v>
      </c>
      <c r="T22" s="324">
        <f>HLOOKUP('Input Data'!F$30,Calculations!$C$2:$J$25,21,FALSE)</f>
        <v>0</v>
      </c>
      <c r="U22" s="324">
        <f>HLOOKUP('Input Data'!F$31,Calculations!$C$2:$J$25,21,FALSE)</f>
        <v>1000</v>
      </c>
      <c r="V22" s="324">
        <f>HLOOKUP('Input Data'!F$32,Calculations!$C$2:$J$25,21,FALSE)</f>
        <v>0</v>
      </c>
    </row>
    <row r="23" spans="1:35" ht="14.45" customHeight="1" x14ac:dyDescent="0.25">
      <c r="A23" s="340"/>
      <c r="C23" s="109" t="s">
        <v>174</v>
      </c>
      <c r="D23" s="73">
        <f t="shared" si="10"/>
        <v>5000</v>
      </c>
      <c r="E23" s="73">
        <f t="shared" si="10"/>
        <v>5000</v>
      </c>
      <c r="F23" s="73">
        <f t="shared" si="10"/>
        <v>0</v>
      </c>
      <c r="G23" s="73">
        <f t="shared" si="10"/>
        <v>0</v>
      </c>
      <c r="H23" s="73">
        <f t="shared" si="10"/>
        <v>0</v>
      </c>
      <c r="I23" s="315">
        <f t="shared" si="10"/>
        <v>0</v>
      </c>
      <c r="J23" s="318">
        <v>0</v>
      </c>
      <c r="L23" s="325">
        <f t="shared" si="11"/>
        <v>5000</v>
      </c>
      <c r="M23" s="324">
        <f>HLOOKUP('Input Data'!F$23,Calculations!$C$2:$J$25,22,FALSE)</f>
        <v>0</v>
      </c>
      <c r="N23" s="324">
        <f>HLOOKUP('Input Data'!F$24,Calculations!$C$2:$J$25,22,FALSE)</f>
        <v>0</v>
      </c>
      <c r="O23" s="324">
        <f>HLOOKUP('Input Data'!F$25,Calculations!$C$2:$J$25,22,FALSE)</f>
        <v>0</v>
      </c>
      <c r="P23" s="324">
        <f>HLOOKUP('Input Data'!F$26,Calculations!$C$2:$J$25,22,FALSE)</f>
        <v>0</v>
      </c>
      <c r="Q23" s="324">
        <f>HLOOKUP('Input Data'!F$27,Calculations!$C$2:$J$25,22,FALSE)</f>
        <v>0</v>
      </c>
      <c r="R23" s="324">
        <f>HLOOKUP('Input Data'!F$28,Calculations!$C$2:$J$25,22,FALSE)</f>
        <v>0</v>
      </c>
      <c r="S23" s="324">
        <f>HLOOKUP('Input Data'!F$29,Calculations!$C$2:$J$25,22,FALSE)</f>
        <v>0</v>
      </c>
      <c r="T23" s="324">
        <f>HLOOKUP('Input Data'!F$30,Calculations!$C$2:$J$25,22,FALSE)</f>
        <v>0</v>
      </c>
      <c r="U23" s="324">
        <f>HLOOKUP('Input Data'!F$31,Calculations!$C$2:$J$25,22,FALSE)</f>
        <v>5000</v>
      </c>
      <c r="V23" s="324">
        <f>HLOOKUP('Input Data'!F$32,Calculations!$C$2:$J$25,22,FALSE)</f>
        <v>0</v>
      </c>
    </row>
    <row r="24" spans="1:35" x14ac:dyDescent="0.25">
      <c r="A24" s="340"/>
      <c r="C24" s="109" t="s">
        <v>172</v>
      </c>
      <c r="D24" s="73">
        <f t="shared" si="10"/>
        <v>73500</v>
      </c>
      <c r="E24" s="73">
        <f t="shared" si="10"/>
        <v>0</v>
      </c>
      <c r="F24" s="73">
        <f t="shared" si="10"/>
        <v>0</v>
      </c>
      <c r="G24" s="73">
        <f t="shared" si="10"/>
        <v>0</v>
      </c>
      <c r="H24" s="73">
        <f t="shared" si="10"/>
        <v>0</v>
      </c>
      <c r="I24" s="315">
        <f t="shared" si="10"/>
        <v>0</v>
      </c>
      <c r="J24" s="318">
        <v>0</v>
      </c>
      <c r="L24" s="325">
        <f t="shared" si="11"/>
        <v>73500</v>
      </c>
      <c r="M24" s="324">
        <f>HLOOKUP('Input Data'!F$23,Calculations!$C$2:$J$25,23,FALSE)</f>
        <v>0</v>
      </c>
      <c r="N24" s="324">
        <f>HLOOKUP('Input Data'!F$24,Calculations!$C$2:$J$25,23,FALSE)</f>
        <v>0</v>
      </c>
      <c r="O24" s="324">
        <f>HLOOKUP('Input Data'!F$25,Calculations!$C$2:$J$25,23,FALSE)</f>
        <v>0</v>
      </c>
      <c r="P24" s="324">
        <f>HLOOKUP('Input Data'!F$26,Calculations!$C$2:$J$25,23,FALSE)</f>
        <v>0</v>
      </c>
      <c r="Q24" s="324">
        <f>HLOOKUP('Input Data'!F$27,Calculations!$C$2:$J$25,23,FALSE)</f>
        <v>0</v>
      </c>
      <c r="R24" s="324">
        <f>HLOOKUP('Input Data'!F$28,Calculations!$C$2:$J$25,23,FALSE)</f>
        <v>0</v>
      </c>
      <c r="S24" s="324">
        <f>HLOOKUP('Input Data'!F$29,Calculations!$C$2:$J$25,23,FALSE)</f>
        <v>0</v>
      </c>
      <c r="T24" s="324">
        <f>HLOOKUP('Input Data'!F$30,Calculations!$C$2:$J$25,23,FALSE)</f>
        <v>0</v>
      </c>
      <c r="U24" s="324">
        <f>HLOOKUP('Input Data'!F$31,Calculations!$C$2:$J$25,23,FALSE)</f>
        <v>0</v>
      </c>
      <c r="V24" s="324">
        <f>HLOOKUP('Input Data'!F$32,Calculations!$C$2:$J$25,23,FALSE)</f>
        <v>0</v>
      </c>
    </row>
    <row r="25" spans="1:35" x14ac:dyDescent="0.25">
      <c r="A25" s="340"/>
      <c r="C25" s="109" t="s">
        <v>173</v>
      </c>
      <c r="D25" s="108">
        <f t="shared" si="10"/>
        <v>40000</v>
      </c>
      <c r="E25" s="108">
        <f t="shared" si="10"/>
        <v>20000</v>
      </c>
      <c r="F25" s="341">
        <f t="shared" si="10"/>
        <v>0</v>
      </c>
      <c r="G25" s="108">
        <f t="shared" si="10"/>
        <v>0</v>
      </c>
      <c r="H25" s="108">
        <f t="shared" si="10"/>
        <v>0</v>
      </c>
      <c r="I25" s="108">
        <f t="shared" si="10"/>
        <v>0</v>
      </c>
      <c r="J25" s="317">
        <v>0</v>
      </c>
      <c r="L25" s="323">
        <f t="shared" si="11"/>
        <v>40000</v>
      </c>
      <c r="M25" s="324">
        <f>HLOOKUP('Input Data'!F$23,Calculations!$C$2:$J$25,24,FALSE)</f>
        <v>0</v>
      </c>
      <c r="N25" s="324">
        <f>HLOOKUP('Input Data'!F$24,Calculations!$C$2:$J$25,24,FALSE)</f>
        <v>0</v>
      </c>
      <c r="O25" s="324">
        <f>HLOOKUP('Input Data'!F$25,Calculations!$C$2:$J$25,24,FALSE)</f>
        <v>0</v>
      </c>
      <c r="P25" s="324">
        <f>HLOOKUP('Input Data'!F$26,Calculations!$C$2:$J$25,24,FALSE)</f>
        <v>0</v>
      </c>
      <c r="Q25" s="324">
        <f>HLOOKUP('Input Data'!F$27,Calculations!$C$2:$J$25,24,FALSE)</f>
        <v>0</v>
      </c>
      <c r="R25" s="324">
        <f>HLOOKUP('Input Data'!F$28,Calculations!$C$2:$J$25,24,FALSE)</f>
        <v>0</v>
      </c>
      <c r="S25" s="324">
        <f>HLOOKUP('Input Data'!F$29,Calculations!$C$2:$J$25,24,FALSE)</f>
        <v>0</v>
      </c>
      <c r="T25" s="324">
        <f>HLOOKUP('Input Data'!F$30,Calculations!$C$2:$J$25,24,FALSE)</f>
        <v>0</v>
      </c>
      <c r="U25" s="324">
        <f>HLOOKUP('Input Data'!F$31,Calculations!$C$2:$J$25,24,FALSE)</f>
        <v>20000</v>
      </c>
      <c r="V25" s="324">
        <f>HLOOKUP('Input Data'!F$32,Calculations!$C$2:$J$25,24,FALSE)</f>
        <v>0</v>
      </c>
    </row>
    <row r="26" spans="1:35" x14ac:dyDescent="0.25">
      <c r="A26" s="340"/>
      <c r="D26"/>
      <c r="V26" s="320"/>
    </row>
    <row r="27" spans="1:35" ht="17.25" customHeight="1" x14ac:dyDescent="0.25">
      <c r="A27" s="340"/>
      <c r="C27" s="200" t="s">
        <v>176</v>
      </c>
      <c r="D27" s="203">
        <v>1</v>
      </c>
      <c r="E27" s="303" t="s">
        <v>175</v>
      </c>
      <c r="F27" s="304"/>
      <c r="G27" s="305"/>
      <c r="H27" s="82"/>
      <c r="I27" s="82"/>
      <c r="L27" s="331">
        <f t="shared" ref="L27:L28" si="12">L12</f>
        <v>0</v>
      </c>
      <c r="M27" s="331">
        <f t="shared" ref="M27:M28" si="13">L12</f>
        <v>0</v>
      </c>
      <c r="N27" s="331">
        <f t="shared" ref="N27:N28" si="14">M12</f>
        <v>1</v>
      </c>
      <c r="O27" s="331">
        <f t="shared" ref="O27:O28" si="15">N27</f>
        <v>1</v>
      </c>
      <c r="P27" s="331">
        <f t="shared" ref="P27:P28" si="16">N12</f>
        <v>2</v>
      </c>
      <c r="Q27" s="331">
        <f t="shared" ref="Q27:Q28" si="17">N12</f>
        <v>2</v>
      </c>
      <c r="R27" s="331">
        <f t="shared" ref="R27:R28" si="18">O12</f>
        <v>3</v>
      </c>
      <c r="S27" s="331">
        <f t="shared" ref="S27:S28" si="19">O12</f>
        <v>3</v>
      </c>
      <c r="T27" s="331">
        <f t="shared" ref="T27:T28" si="20">P12</f>
        <v>4</v>
      </c>
      <c r="U27" s="331">
        <f t="shared" ref="U27:U28" si="21">P12</f>
        <v>4</v>
      </c>
      <c r="V27" s="331">
        <f t="shared" ref="V27:V28" si="22">Q12</f>
        <v>5</v>
      </c>
      <c r="W27" s="331">
        <f t="shared" ref="W27:W28" si="23">Q12</f>
        <v>5</v>
      </c>
      <c r="X27" s="331">
        <f t="shared" ref="X27:X28" si="24">R12</f>
        <v>6</v>
      </c>
      <c r="Y27" s="331">
        <f t="shared" ref="Y27:Y28" si="25">R12</f>
        <v>6</v>
      </c>
      <c r="Z27" s="331">
        <f t="shared" ref="Z27:Z28" si="26">S12</f>
        <v>7</v>
      </c>
      <c r="AA27" s="331">
        <f t="shared" ref="AA27:AA28" si="27">S12</f>
        <v>7</v>
      </c>
      <c r="AB27" s="331">
        <f t="shared" ref="AB27:AB28" si="28">T12</f>
        <v>8</v>
      </c>
      <c r="AC27" s="331">
        <f t="shared" ref="AC27:AC28" si="29">T12</f>
        <v>8</v>
      </c>
      <c r="AD27" s="331">
        <f t="shared" ref="AD27:AD28" si="30">U12</f>
        <v>9</v>
      </c>
      <c r="AE27" s="331">
        <f t="shared" ref="AE27:AE28" si="31">U12</f>
        <v>9</v>
      </c>
      <c r="AF27" s="331">
        <f t="shared" ref="AF27:AF28" si="32">V12</f>
        <v>10</v>
      </c>
      <c r="AG27" s="331">
        <f t="shared" ref="AG27:AG28" si="33">V12</f>
        <v>10</v>
      </c>
      <c r="AH27" s="329"/>
      <c r="AI27" s="330"/>
    </row>
    <row r="28" spans="1:35" ht="17.25" customHeight="1" x14ac:dyDescent="0.25">
      <c r="A28" s="340"/>
      <c r="C28" s="299" t="s">
        <v>177</v>
      </c>
      <c r="D28" s="300" t="s">
        <v>197</v>
      </c>
      <c r="E28" s="301" t="s">
        <v>198</v>
      </c>
      <c r="F28" s="302"/>
      <c r="G28" s="302"/>
      <c r="H28" s="201"/>
      <c r="I28" s="202"/>
      <c r="L28" s="331" t="str">
        <f t="shared" si="12"/>
        <v>Initial CapEx</v>
      </c>
      <c r="M28" s="331" t="str">
        <f t="shared" si="13"/>
        <v>Initial CapEx</v>
      </c>
      <c r="N28" s="331" t="str">
        <f t="shared" si="14"/>
        <v>No Upgrade</v>
      </c>
      <c r="O28" s="331" t="str">
        <f t="shared" si="15"/>
        <v>No Upgrade</v>
      </c>
      <c r="P28" s="331" t="str">
        <f t="shared" si="16"/>
        <v>No Upgrade</v>
      </c>
      <c r="Q28" s="331" t="str">
        <f t="shared" si="17"/>
        <v>No Upgrade</v>
      </c>
      <c r="R28" s="331" t="str">
        <f t="shared" si="18"/>
        <v>No Upgrade</v>
      </c>
      <c r="S28" s="331" t="str">
        <f t="shared" si="19"/>
        <v>No Upgrade</v>
      </c>
      <c r="T28" s="331" t="str">
        <f t="shared" si="20"/>
        <v>No Upgrade</v>
      </c>
      <c r="U28" s="331" t="str">
        <f t="shared" si="21"/>
        <v>No Upgrade</v>
      </c>
      <c r="V28" s="331" t="str">
        <f t="shared" si="22"/>
        <v>No Upgrade</v>
      </c>
      <c r="W28" s="331" t="str">
        <f t="shared" si="23"/>
        <v>No Upgrade</v>
      </c>
      <c r="X28" s="331" t="str">
        <f t="shared" si="24"/>
        <v>No Upgrade</v>
      </c>
      <c r="Y28" s="331" t="str">
        <f t="shared" si="25"/>
        <v>No Upgrade</v>
      </c>
      <c r="Z28" s="331" t="str">
        <f t="shared" si="26"/>
        <v>No Upgrade</v>
      </c>
      <c r="AA28" s="331" t="str">
        <f t="shared" si="27"/>
        <v>No Upgrade</v>
      </c>
      <c r="AB28" s="331" t="str">
        <f t="shared" si="28"/>
        <v>No Upgrade</v>
      </c>
      <c r="AC28" s="331" t="str">
        <f t="shared" si="29"/>
        <v>No Upgrade</v>
      </c>
      <c r="AD28" s="331" t="str">
        <f t="shared" si="30"/>
        <v>Upgrade 1</v>
      </c>
      <c r="AE28" s="331" t="str">
        <f t="shared" si="31"/>
        <v>Upgrade 1</v>
      </c>
      <c r="AF28" s="331" t="str">
        <f t="shared" si="32"/>
        <v>No Upgrade</v>
      </c>
      <c r="AG28" s="331" t="str">
        <f t="shared" si="33"/>
        <v>No Upgrade</v>
      </c>
      <c r="AH28" s="329"/>
      <c r="AI28" s="330"/>
    </row>
    <row r="29" spans="1:35" x14ac:dyDescent="0.25">
      <c r="A29" s="340"/>
      <c r="D29"/>
      <c r="K29" s="332" t="s">
        <v>199</v>
      </c>
      <c r="L29" s="328">
        <f>SUM(L17:L18)</f>
        <v>92500</v>
      </c>
      <c r="M29" s="333">
        <f>SUM(L24:L25)</f>
        <v>113500</v>
      </c>
      <c r="N29" s="328">
        <f>SUM(M17:M18)</f>
        <v>0</v>
      </c>
      <c r="O29" s="333">
        <f>SUM(M24:M25)</f>
        <v>0</v>
      </c>
      <c r="P29" s="328">
        <f>SUM(N17:N18)</f>
        <v>0</v>
      </c>
      <c r="Q29" s="333">
        <f>SUM(N24:N25)</f>
        <v>0</v>
      </c>
      <c r="R29" s="328">
        <f>SUM(O17:O18)</f>
        <v>0</v>
      </c>
      <c r="S29" s="333">
        <f>SUM(O24:O25)</f>
        <v>0</v>
      </c>
      <c r="T29" s="328">
        <f>SUM(P17:P18)</f>
        <v>0</v>
      </c>
      <c r="U29" s="333">
        <f>SUM(P24:P25)</f>
        <v>0</v>
      </c>
      <c r="V29" s="328">
        <f>SUM(Q17:Q18)</f>
        <v>0</v>
      </c>
      <c r="W29" s="333">
        <f>SUM(Q24:Q25)</f>
        <v>0</v>
      </c>
      <c r="X29" s="328">
        <f>SUM(R17:R18)</f>
        <v>0</v>
      </c>
      <c r="Y29" s="333">
        <f>SUM(R24:R25)</f>
        <v>0</v>
      </c>
      <c r="Z29" s="328">
        <f>SUM(S17:S18)</f>
        <v>0</v>
      </c>
      <c r="AA29" s="333">
        <f>SUM(S24:S25)</f>
        <v>0</v>
      </c>
      <c r="AB29" s="328">
        <f>SUM(T17:T18)</f>
        <v>0</v>
      </c>
      <c r="AC29" s="333">
        <f>SUM(T24:T25)</f>
        <v>0</v>
      </c>
      <c r="AD29" s="328">
        <f>SUM(U17:U18)</f>
        <v>53800</v>
      </c>
      <c r="AE29" s="333">
        <f>SUM(U24:U25)</f>
        <v>20000</v>
      </c>
      <c r="AF29" s="328">
        <f>SUM(V17:V18)</f>
        <v>0</v>
      </c>
      <c r="AG29" s="333">
        <f>SUM(V24:V25)</f>
        <v>0</v>
      </c>
    </row>
    <row r="30" spans="1:35" x14ac:dyDescent="0.25">
      <c r="A30" s="340"/>
      <c r="D30"/>
      <c r="K30" s="332" t="s">
        <v>200</v>
      </c>
      <c r="L30" s="328">
        <f>SUM(L14:L16)</f>
        <v>9000</v>
      </c>
      <c r="M30" s="333">
        <f>SUM(L21:L23)</f>
        <v>7200</v>
      </c>
      <c r="N30" s="328">
        <f>SUM(M14:M16)</f>
        <v>0</v>
      </c>
      <c r="O30" s="333">
        <f>SUM(M21:M23)</f>
        <v>0</v>
      </c>
      <c r="P30" s="328">
        <f>SUM(N14:N16)</f>
        <v>0</v>
      </c>
      <c r="Q30" s="333">
        <f>SUM(N21:N23)</f>
        <v>0</v>
      </c>
      <c r="R30" s="328">
        <f>SUM(O14:O16)</f>
        <v>0</v>
      </c>
      <c r="S30" s="333">
        <f>SUM(O21:O23)</f>
        <v>0</v>
      </c>
      <c r="T30" s="328">
        <f>SUM(P14:P16)</f>
        <v>0</v>
      </c>
      <c r="U30" s="333">
        <f>SUM(P21:P23)</f>
        <v>0</v>
      </c>
      <c r="V30" s="328">
        <f>SUM(Q14:Q16)</f>
        <v>0</v>
      </c>
      <c r="W30" s="333">
        <f>SUM(Q21:Q23)</f>
        <v>0</v>
      </c>
      <c r="X30" s="328">
        <f>SUM(R14:R16)</f>
        <v>0</v>
      </c>
      <c r="Y30" s="333">
        <f>SUM(R21:R23)</f>
        <v>0</v>
      </c>
      <c r="Z30" s="328">
        <f>SUM(S14:S16)</f>
        <v>0</v>
      </c>
      <c r="AA30" s="333">
        <f>SUM(S21:S23)</f>
        <v>0</v>
      </c>
      <c r="AB30" s="328">
        <f>SUM(T14:T16)</f>
        <v>0</v>
      </c>
      <c r="AC30" s="333">
        <f>SUM(T21:T23)</f>
        <v>0</v>
      </c>
      <c r="AD30" s="328">
        <f>SUM(U14:U16)</f>
        <v>8000</v>
      </c>
      <c r="AE30" s="333">
        <f>SUM(U21:U23)</f>
        <v>6000</v>
      </c>
      <c r="AF30" s="328">
        <f>SUM(V14:V16)</f>
        <v>0</v>
      </c>
      <c r="AG30" s="333">
        <f>SUM(V21:V23)</f>
        <v>0</v>
      </c>
    </row>
    <row r="31" spans="1:35" x14ac:dyDescent="0.25">
      <c r="A31" s="340"/>
      <c r="D31"/>
    </row>
    <row r="32" spans="1:35" x14ac:dyDescent="0.25">
      <c r="A32" s="340"/>
      <c r="D32"/>
    </row>
    <row r="33" spans="1:26" x14ac:dyDescent="0.25">
      <c r="A33" s="340"/>
    </row>
    <row r="34" spans="1:26" x14ac:dyDescent="0.25">
      <c r="A34" s="340"/>
    </row>
    <row r="35" spans="1:26" x14ac:dyDescent="0.25">
      <c r="A35" s="340"/>
    </row>
    <row r="36" spans="1:26" x14ac:dyDescent="0.25">
      <c r="A36" s="340"/>
      <c r="C36" s="26"/>
    </row>
    <row r="37" spans="1:26" ht="32.450000000000003" customHeight="1" x14ac:dyDescent="0.25">
      <c r="A37" s="340"/>
      <c r="B37" s="20"/>
      <c r="C37" s="21" t="s">
        <v>3</v>
      </c>
      <c r="D37" s="22" t="s">
        <v>12</v>
      </c>
      <c r="E37" s="66" t="s">
        <v>137</v>
      </c>
      <c r="F37" s="66" t="s">
        <v>120</v>
      </c>
      <c r="G37" s="66" t="s">
        <v>121</v>
      </c>
      <c r="H37" s="66" t="s">
        <v>122</v>
      </c>
      <c r="I37" s="66" t="s">
        <v>125</v>
      </c>
      <c r="J37" s="66" t="s">
        <v>126</v>
      </c>
      <c r="K37" s="321" t="s">
        <v>127</v>
      </c>
    </row>
    <row r="38" spans="1:26" ht="15" customHeight="1" x14ac:dyDescent="0.25">
      <c r="A38" s="340"/>
      <c r="B38" s="23"/>
      <c r="C38" s="57" t="s">
        <v>102</v>
      </c>
      <c r="D38" s="54">
        <f>'Cost Elements'!C3</f>
        <v>1</v>
      </c>
      <c r="E38" s="90">
        <f>D38*'Input Data'!$F$8</f>
        <v>2</v>
      </c>
      <c r="F38" s="90">
        <f>D38*Upgrades!$F$5</f>
        <v>2</v>
      </c>
      <c r="G38" s="90">
        <f>D38*Upgrades!$F$13</f>
        <v>0</v>
      </c>
      <c r="H38" s="90">
        <f>D38*Upgrades!$F$21</f>
        <v>0</v>
      </c>
      <c r="I38" s="90">
        <f>D38*Upgrades!$F$29</f>
        <v>0</v>
      </c>
      <c r="J38" s="90">
        <f>D38*Upgrades!$F$37</f>
        <v>0</v>
      </c>
      <c r="K38" s="90"/>
    </row>
    <row r="39" spans="1:26" x14ac:dyDescent="0.25">
      <c r="A39" s="340"/>
      <c r="B39" s="15"/>
      <c r="C39" s="57" t="s">
        <v>103</v>
      </c>
      <c r="D39" s="54">
        <f>'Cost Elements'!C4</f>
        <v>0.22</v>
      </c>
      <c r="E39" s="90">
        <f>D39*'Input Data'!$F$8</f>
        <v>0.44</v>
      </c>
      <c r="F39" s="90">
        <f>D39*Upgrades!$F$5</f>
        <v>0.44</v>
      </c>
      <c r="G39" s="90">
        <f>D39*Upgrades!$F$13</f>
        <v>0</v>
      </c>
      <c r="H39" s="90">
        <f>D39*Upgrades!$F$21</f>
        <v>0</v>
      </c>
      <c r="I39" s="90">
        <f>D39*Upgrades!$F$29</f>
        <v>0</v>
      </c>
      <c r="J39" s="90">
        <f>D39*Upgrades!$F$37</f>
        <v>0</v>
      </c>
      <c r="K39" s="90"/>
    </row>
    <row r="40" spans="1:26" x14ac:dyDescent="0.25">
      <c r="A40" s="340"/>
      <c r="B40" s="15"/>
      <c r="C40" s="57" t="s">
        <v>104</v>
      </c>
      <c r="D40" s="54">
        <f>'Cost Elements'!C5</f>
        <v>1</v>
      </c>
      <c r="E40" s="90">
        <f>D40*'Input Data'!$F$8</f>
        <v>2</v>
      </c>
      <c r="F40" s="90">
        <f>D40*Upgrades!$F$5</f>
        <v>2</v>
      </c>
      <c r="G40" s="90">
        <f>D40*Upgrades!$F$13</f>
        <v>0</v>
      </c>
      <c r="H40" s="90">
        <f>D40*Upgrades!$F$21</f>
        <v>0</v>
      </c>
      <c r="I40" s="90">
        <f>D40*Upgrades!$F$29</f>
        <v>0</v>
      </c>
      <c r="J40" s="90">
        <f>D40*Upgrades!$F$37</f>
        <v>0</v>
      </c>
      <c r="K40" s="90"/>
    </row>
    <row r="41" spans="1:26" ht="16.5" x14ac:dyDescent="0.25">
      <c r="A41" s="340"/>
      <c r="B41" s="40" t="s">
        <v>83</v>
      </c>
      <c r="C41" s="57" t="s">
        <v>105</v>
      </c>
      <c r="D41" s="54">
        <f>'Cost Elements'!C6</f>
        <v>0.28399999999999997</v>
      </c>
      <c r="E41" s="90">
        <f>D41*'Input Data'!$F$8</f>
        <v>0.56799999999999995</v>
      </c>
      <c r="F41" s="90">
        <f>D41*Upgrades!$F$5</f>
        <v>0.56799999999999995</v>
      </c>
      <c r="G41" s="90">
        <f>D41*Upgrades!$F$13</f>
        <v>0</v>
      </c>
      <c r="H41" s="90">
        <f>D41*Upgrades!$F$21</f>
        <v>0</v>
      </c>
      <c r="I41" s="90">
        <f>D41*Upgrades!$F$29</f>
        <v>0</v>
      </c>
      <c r="J41" s="90">
        <f>D41*Upgrades!$F$37</f>
        <v>0</v>
      </c>
      <c r="K41" s="90"/>
      <c r="L41" s="58"/>
      <c r="M41" s="58"/>
      <c r="N41" s="58"/>
      <c r="O41" s="58"/>
      <c r="P41" s="58"/>
      <c r="Q41" s="58"/>
      <c r="R41" s="58"/>
      <c r="S41" s="58"/>
      <c r="T41" s="58"/>
      <c r="U41" s="58"/>
      <c r="V41" s="58"/>
      <c r="W41" s="58"/>
      <c r="X41" s="58"/>
      <c r="Y41" s="58"/>
      <c r="Z41" s="58"/>
    </row>
    <row r="42" spans="1:26" ht="16.5" x14ac:dyDescent="0.25">
      <c r="A42" s="340"/>
      <c r="B42" s="40" t="s">
        <v>84</v>
      </c>
      <c r="C42" s="57" t="s">
        <v>106</v>
      </c>
      <c r="D42" s="54">
        <f>'Cost Elements'!C7</f>
        <v>0.34499999999999997</v>
      </c>
      <c r="E42" s="90">
        <f>D42*'Input Data'!$F$8</f>
        <v>0.69</v>
      </c>
      <c r="F42" s="90">
        <f>D42*Upgrades!$F$5</f>
        <v>0.69</v>
      </c>
      <c r="G42" s="90">
        <f>D42*Upgrades!$F$13</f>
        <v>0</v>
      </c>
      <c r="H42" s="90">
        <f>D42*Upgrades!$F$21</f>
        <v>0</v>
      </c>
      <c r="I42" s="90">
        <f>D42*Upgrades!$F$29</f>
        <v>0</v>
      </c>
      <c r="J42" s="90">
        <f>D42*Upgrades!$F$37</f>
        <v>0</v>
      </c>
      <c r="K42" s="90"/>
      <c r="L42" s="58"/>
      <c r="M42" s="58"/>
      <c r="N42" s="58"/>
      <c r="O42" s="58"/>
      <c r="P42" s="58"/>
      <c r="Q42" s="58"/>
      <c r="R42" s="58"/>
      <c r="S42" s="58"/>
      <c r="T42" s="58"/>
      <c r="U42" s="58"/>
      <c r="V42" s="58"/>
      <c r="W42" s="58"/>
      <c r="X42" s="58"/>
      <c r="Y42" s="58"/>
      <c r="Z42" s="58"/>
    </row>
    <row r="43" spans="1:26" ht="16.5" x14ac:dyDescent="0.25">
      <c r="A43" s="340"/>
      <c r="B43" s="40" t="s">
        <v>76</v>
      </c>
      <c r="C43" s="57" t="s">
        <v>107</v>
      </c>
      <c r="D43" s="54">
        <f>'Cost Elements'!C8</f>
        <v>0.39</v>
      </c>
      <c r="E43" s="90">
        <f>D43*'Input Data'!$F$8</f>
        <v>0.78</v>
      </c>
      <c r="F43" s="90">
        <f>D43*Upgrades!$F$5</f>
        <v>0.78</v>
      </c>
      <c r="G43" s="90">
        <f>D43*Upgrades!$F$13</f>
        <v>0</v>
      </c>
      <c r="H43" s="90">
        <f>D43*Upgrades!$F$21</f>
        <v>0</v>
      </c>
      <c r="I43" s="90">
        <f>D43*Upgrades!$F$29</f>
        <v>0</v>
      </c>
      <c r="J43" s="90">
        <f>D43*Upgrades!$F$37</f>
        <v>0</v>
      </c>
      <c r="K43" s="90"/>
      <c r="L43" s="58"/>
      <c r="M43" s="55"/>
      <c r="N43" s="1"/>
      <c r="O43" s="1"/>
      <c r="S43" s="1"/>
      <c r="T43" s="1"/>
    </row>
    <row r="44" spans="1:26" x14ac:dyDescent="0.25">
      <c r="A44" s="340"/>
      <c r="B44" s="40"/>
      <c r="C44" s="57" t="s">
        <v>108</v>
      </c>
      <c r="D44" s="54">
        <f>'Cost Elements'!C9</f>
        <v>0.37</v>
      </c>
      <c r="E44" s="90">
        <f>D44*'Input Data'!$F$8</f>
        <v>0.74</v>
      </c>
      <c r="F44" s="90">
        <f>D44*Upgrades!$F$5</f>
        <v>0.74</v>
      </c>
      <c r="G44" s="90">
        <f>D44*Upgrades!$F$13</f>
        <v>0</v>
      </c>
      <c r="H44" s="90">
        <f>D44*Upgrades!$F$21</f>
        <v>0</v>
      </c>
      <c r="I44" s="90">
        <f>D44*Upgrades!$F$29</f>
        <v>0</v>
      </c>
      <c r="J44" s="90">
        <f>D44*Upgrades!$F$37</f>
        <v>0</v>
      </c>
      <c r="K44" s="90"/>
      <c r="L44" s="58"/>
      <c r="M44" s="55"/>
      <c r="N44" s="1"/>
      <c r="O44" s="1"/>
      <c r="S44" s="1"/>
      <c r="T44" s="1"/>
    </row>
    <row r="45" spans="1:26" ht="16.5" x14ac:dyDescent="0.25">
      <c r="A45" s="340"/>
      <c r="B45" s="40" t="s">
        <v>85</v>
      </c>
      <c r="C45" s="57" t="s">
        <v>109</v>
      </c>
      <c r="D45" s="54">
        <f>'Cost Elements'!C10</f>
        <v>0.435</v>
      </c>
      <c r="E45" s="90">
        <f>D45*'Input Data'!$F$8</f>
        <v>0.87</v>
      </c>
      <c r="F45" s="90">
        <f>D45*Upgrades!$F$5</f>
        <v>0.87</v>
      </c>
      <c r="G45" s="90">
        <f>D45*Upgrades!$F$13</f>
        <v>0</v>
      </c>
      <c r="H45" s="90">
        <f>D45*Upgrades!$F$21</f>
        <v>0</v>
      </c>
      <c r="I45" s="90">
        <f>D45*Upgrades!$F$29</f>
        <v>0</v>
      </c>
      <c r="J45" s="90">
        <f>D45*Upgrades!$F$37</f>
        <v>0</v>
      </c>
      <c r="K45" s="90"/>
      <c r="L45" s="58"/>
      <c r="M45" s="55"/>
      <c r="N45" s="1"/>
      <c r="O45" s="1"/>
      <c r="S45" s="1"/>
      <c r="T45" s="1"/>
    </row>
    <row r="46" spans="1:26" ht="16.5" x14ac:dyDescent="0.25">
      <c r="A46" s="340"/>
      <c r="B46" s="40" t="s">
        <v>73</v>
      </c>
      <c r="C46" s="57" t="s">
        <v>110</v>
      </c>
      <c r="D46" s="54">
        <f>'Cost Elements'!C11</f>
        <v>0.49</v>
      </c>
      <c r="E46" s="90">
        <f>D46*'Input Data'!$F$8</f>
        <v>0.98</v>
      </c>
      <c r="F46" s="90">
        <f>D46*Upgrades!$F$5</f>
        <v>0.98</v>
      </c>
      <c r="G46" s="90">
        <f>D46*Upgrades!$F$13</f>
        <v>0</v>
      </c>
      <c r="H46" s="90">
        <f>D46*Upgrades!$F$21</f>
        <v>0</v>
      </c>
      <c r="I46" s="90">
        <f>D46*Upgrades!$F$29</f>
        <v>0</v>
      </c>
      <c r="J46" s="90">
        <f>D46*Upgrades!$F$37</f>
        <v>0</v>
      </c>
      <c r="K46" s="90"/>
      <c r="L46" s="58"/>
      <c r="M46" s="55"/>
      <c r="N46" s="1"/>
      <c r="O46" s="1"/>
      <c r="S46" s="1"/>
      <c r="T46" s="1"/>
    </row>
    <row r="47" spans="1:26" ht="16.5" x14ac:dyDescent="0.25">
      <c r="A47" s="340"/>
      <c r="B47" s="40" t="s">
        <v>83</v>
      </c>
      <c r="C47" s="57" t="s">
        <v>111</v>
      </c>
      <c r="D47" s="54">
        <f>'Cost Elements'!C12</f>
        <v>0.59</v>
      </c>
      <c r="E47" s="90">
        <f>D47*'Input Data'!$F$8</f>
        <v>1.18</v>
      </c>
      <c r="F47" s="90">
        <f>D47*Upgrades!$F$5</f>
        <v>1.18</v>
      </c>
      <c r="G47" s="90">
        <f>D47*Upgrades!$F$13</f>
        <v>0</v>
      </c>
      <c r="H47" s="90">
        <f>D47*Upgrades!$F$21</f>
        <v>0</v>
      </c>
      <c r="I47" s="90">
        <f>D47*Upgrades!$F$29</f>
        <v>0</v>
      </c>
      <c r="J47" s="90">
        <f>D47*Upgrades!$F$37</f>
        <v>0</v>
      </c>
      <c r="K47" s="90"/>
      <c r="L47" s="58"/>
      <c r="M47" s="55"/>
      <c r="N47" s="1"/>
      <c r="O47" s="1"/>
      <c r="S47" s="1"/>
      <c r="T47" s="1"/>
    </row>
    <row r="48" spans="1:26" ht="16.5" x14ac:dyDescent="0.25">
      <c r="A48" s="340"/>
      <c r="B48" s="40" t="s">
        <v>87</v>
      </c>
      <c r="C48" s="57" t="s">
        <v>112</v>
      </c>
      <c r="D48" s="54">
        <f>'Cost Elements'!C13</f>
        <v>0.7</v>
      </c>
      <c r="E48" s="90">
        <f>D48*'Input Data'!$F$8</f>
        <v>1.4</v>
      </c>
      <c r="F48" s="90">
        <f>D48*Upgrades!$F$5</f>
        <v>1.4</v>
      </c>
      <c r="G48" s="90">
        <f>D48*Upgrades!$F$13</f>
        <v>0</v>
      </c>
      <c r="H48" s="90">
        <f>D48*Upgrades!$F$21</f>
        <v>0</v>
      </c>
      <c r="I48" s="90">
        <f>D48*Upgrades!$F$29</f>
        <v>0</v>
      </c>
      <c r="J48" s="90">
        <f>D48*Upgrades!$F$37</f>
        <v>0</v>
      </c>
      <c r="K48" s="90"/>
      <c r="L48" s="58"/>
      <c r="M48" s="55"/>
      <c r="N48" s="1"/>
      <c r="O48" s="1"/>
      <c r="S48" s="1"/>
      <c r="T48" s="1"/>
    </row>
    <row r="49" spans="1:20" x14ac:dyDescent="0.25">
      <c r="A49" s="340"/>
      <c r="B49" s="40"/>
      <c r="C49" s="57" t="s">
        <v>113</v>
      </c>
      <c r="D49" s="54">
        <f>'Cost Elements'!C14</f>
        <v>0.79</v>
      </c>
      <c r="E49" s="90">
        <f>D49*'Input Data'!$F$8</f>
        <v>1.58</v>
      </c>
      <c r="F49" s="90">
        <f>D49*Upgrades!$F$5</f>
        <v>1.58</v>
      </c>
      <c r="G49" s="90">
        <f>D49*Upgrades!$F$13</f>
        <v>0</v>
      </c>
      <c r="H49" s="90">
        <f>D49*Upgrades!$F$21</f>
        <v>0</v>
      </c>
      <c r="I49" s="90">
        <f>D49*Upgrades!$F$29</f>
        <v>0</v>
      </c>
      <c r="J49" s="90">
        <f>D49*Upgrades!$F$37</f>
        <v>0</v>
      </c>
      <c r="K49" s="90"/>
      <c r="L49" s="58"/>
      <c r="M49" s="55"/>
      <c r="N49" s="1"/>
      <c r="O49" s="1"/>
      <c r="S49" s="1"/>
      <c r="T49" s="1"/>
    </row>
    <row r="50" spans="1:20" ht="16.5" x14ac:dyDescent="0.25">
      <c r="A50" s="340"/>
      <c r="B50" s="40" t="s">
        <v>76</v>
      </c>
      <c r="C50" s="57" t="s">
        <v>114</v>
      </c>
      <c r="D50" s="54">
        <f>'Cost Elements'!C15</f>
        <v>1.32</v>
      </c>
      <c r="E50" s="90">
        <f>D50*'Input Data'!$F$8</f>
        <v>2.64</v>
      </c>
      <c r="F50" s="90">
        <f>D50*Upgrades!$F$5</f>
        <v>2.64</v>
      </c>
      <c r="G50" s="90">
        <f>D50*Upgrades!$F$13</f>
        <v>0</v>
      </c>
      <c r="H50" s="90">
        <f>D50*Upgrades!$F$21</f>
        <v>0</v>
      </c>
      <c r="I50" s="90">
        <f>D50*Upgrades!$F$29</f>
        <v>0</v>
      </c>
      <c r="J50" s="90">
        <f>D50*Upgrades!$F$37</f>
        <v>0</v>
      </c>
      <c r="K50" s="90"/>
      <c r="L50" s="58"/>
      <c r="M50" s="55"/>
      <c r="N50" s="1"/>
      <c r="O50" s="1"/>
      <c r="S50" s="1"/>
      <c r="T50" s="1"/>
    </row>
    <row r="51" spans="1:20" x14ac:dyDescent="0.25">
      <c r="A51" s="340"/>
      <c r="B51" s="40"/>
      <c r="C51" s="57" t="s">
        <v>115</v>
      </c>
      <c r="D51" s="54">
        <f>'Cost Elements'!C16</f>
        <v>1.6</v>
      </c>
      <c r="E51" s="90">
        <f>D51*'Input Data'!$F$8</f>
        <v>3.2</v>
      </c>
      <c r="F51" s="90">
        <f>D51*Upgrades!$F$5</f>
        <v>3.2</v>
      </c>
      <c r="G51" s="90">
        <f>D51*Upgrades!$F$13</f>
        <v>0</v>
      </c>
      <c r="H51" s="90">
        <f>D51*Upgrades!$F$21</f>
        <v>0</v>
      </c>
      <c r="I51" s="90">
        <f>D51*Upgrades!$F$29</f>
        <v>0</v>
      </c>
      <c r="J51" s="90">
        <f>D51*Upgrades!$F$37</f>
        <v>0</v>
      </c>
      <c r="K51" s="90"/>
      <c r="L51" s="58"/>
      <c r="M51" s="55"/>
      <c r="N51" s="1"/>
      <c r="O51" s="1"/>
      <c r="S51" s="1"/>
      <c r="T51" s="1"/>
    </row>
    <row r="52" spans="1:20" ht="16.5" x14ac:dyDescent="0.25">
      <c r="A52" s="340"/>
      <c r="B52" s="40" t="s">
        <v>85</v>
      </c>
      <c r="C52" s="57" t="s">
        <v>116</v>
      </c>
      <c r="D52" s="54">
        <f>'Cost Elements'!C17</f>
        <v>1.65</v>
      </c>
      <c r="E52" s="90">
        <f>D52*'Input Data'!$F$8</f>
        <v>3.3</v>
      </c>
      <c r="F52" s="90">
        <f>D52*Upgrades!$F$5</f>
        <v>3.3</v>
      </c>
      <c r="G52" s="90">
        <f>D52*Upgrades!$F$13</f>
        <v>0</v>
      </c>
      <c r="H52" s="90">
        <f>D52*Upgrades!$F$21</f>
        <v>0</v>
      </c>
      <c r="I52" s="90">
        <f>D52*Upgrades!$F$29</f>
        <v>0</v>
      </c>
      <c r="J52" s="90">
        <f>D52*Upgrades!$F$37</f>
        <v>0</v>
      </c>
      <c r="K52" s="90"/>
      <c r="L52" s="58"/>
      <c r="M52" s="55"/>
      <c r="N52" s="1"/>
      <c r="O52" s="1"/>
      <c r="S52" s="1"/>
      <c r="T52" s="1"/>
    </row>
    <row r="53" spans="1:20" x14ac:dyDescent="0.25">
      <c r="A53" s="340"/>
      <c r="B53" s="15"/>
      <c r="C53" s="57" t="s">
        <v>186</v>
      </c>
      <c r="D53" s="67">
        <v>0</v>
      </c>
      <c r="E53" s="31"/>
      <c r="F53" s="31"/>
      <c r="G53" s="31"/>
      <c r="H53" s="31"/>
      <c r="I53" s="31"/>
      <c r="J53" s="31"/>
      <c r="K53" s="31"/>
      <c r="L53" s="68"/>
      <c r="M53" s="1"/>
      <c r="N53" s="1"/>
      <c r="O53" s="1"/>
      <c r="P53" s="1"/>
      <c r="Q53" s="1"/>
      <c r="R53" s="1"/>
      <c r="S53" s="1"/>
      <c r="T53" s="1"/>
    </row>
    <row r="54" spans="1:20" ht="16.5" x14ac:dyDescent="0.25">
      <c r="A54" s="340"/>
      <c r="B54" s="40" t="s">
        <v>84</v>
      </c>
      <c r="C54" s="2" t="s">
        <v>14</v>
      </c>
      <c r="D54" s="54">
        <f>'Cost Elements'!C18</f>
        <v>1</v>
      </c>
      <c r="E54" s="91">
        <f t="shared" ref="E54:E85" si="34">D54</f>
        <v>1</v>
      </c>
      <c r="F54" s="91">
        <f>D54*Upgrades!$G$5</f>
        <v>2</v>
      </c>
      <c r="G54" s="91">
        <f>D54*Upgrades!$G$13</f>
        <v>0</v>
      </c>
      <c r="H54" s="91">
        <f>D54*Upgrades!$G$21</f>
        <v>0</v>
      </c>
      <c r="I54" s="91">
        <f>D54*Upgrades!$G$29</f>
        <v>0</v>
      </c>
      <c r="J54" s="91">
        <f>D54*Upgrades!$G$37</f>
        <v>0</v>
      </c>
      <c r="K54" s="55">
        <v>0</v>
      </c>
      <c r="L54" s="38"/>
      <c r="T54" s="1"/>
    </row>
    <row r="55" spans="1:20" ht="16.5" x14ac:dyDescent="0.25">
      <c r="A55" s="340"/>
      <c r="B55" s="40" t="s">
        <v>86</v>
      </c>
      <c r="C55" s="2" t="s">
        <v>15</v>
      </c>
      <c r="D55" s="54">
        <f>'Cost Elements'!C19</f>
        <v>0.80300000000000005</v>
      </c>
      <c r="E55" s="91">
        <f t="shared" si="34"/>
        <v>0.80300000000000005</v>
      </c>
      <c r="F55" s="91">
        <f>D55*Upgrades!$G$5</f>
        <v>1.6060000000000001</v>
      </c>
      <c r="G55" s="91">
        <f>D55*Upgrades!$G$13</f>
        <v>0</v>
      </c>
      <c r="H55" s="91">
        <f>D55*Upgrades!$G$21</f>
        <v>0</v>
      </c>
      <c r="I55" s="91">
        <f>D55*Upgrades!$G$29</f>
        <v>0</v>
      </c>
      <c r="J55" s="91">
        <f>D55*Upgrades!$G$37</f>
        <v>0</v>
      </c>
      <c r="K55" s="55">
        <v>0</v>
      </c>
      <c r="L55" s="38"/>
      <c r="T55" s="1"/>
    </row>
    <row r="56" spans="1:20" ht="16.5" x14ac:dyDescent="0.25">
      <c r="A56" s="340"/>
      <c r="B56" s="40" t="s">
        <v>73</v>
      </c>
      <c r="C56" s="2" t="s">
        <v>16</v>
      </c>
      <c r="D56" s="54">
        <f>'Cost Elements'!C20</f>
        <v>0.55300000000000005</v>
      </c>
      <c r="E56" s="91">
        <f t="shared" si="34"/>
        <v>0.55300000000000005</v>
      </c>
      <c r="F56" s="91">
        <f>D56*Upgrades!$G$5</f>
        <v>1.1060000000000001</v>
      </c>
      <c r="G56" s="91">
        <f>D56*Upgrades!$G$13</f>
        <v>0</v>
      </c>
      <c r="H56" s="91">
        <f>D56*Upgrades!$G$21</f>
        <v>0</v>
      </c>
      <c r="I56" s="91">
        <f>D56*Upgrades!$G$29</f>
        <v>0</v>
      </c>
      <c r="J56" s="91">
        <f>D56*Upgrades!$G$37</f>
        <v>0</v>
      </c>
      <c r="K56" s="55">
        <v>0</v>
      </c>
      <c r="L56" s="38"/>
      <c r="T56" s="1"/>
    </row>
    <row r="57" spans="1:20" x14ac:dyDescent="0.25">
      <c r="A57" s="340"/>
      <c r="B57" s="40"/>
      <c r="C57" s="2" t="s">
        <v>17</v>
      </c>
      <c r="D57" s="54">
        <f>'Cost Elements'!C21</f>
        <v>0.41299999999999998</v>
      </c>
      <c r="E57" s="91">
        <f t="shared" si="34"/>
        <v>0.41299999999999998</v>
      </c>
      <c r="F57" s="91">
        <f>D57*Upgrades!$G$5</f>
        <v>0.82599999999999996</v>
      </c>
      <c r="G57" s="91">
        <f>D57*Upgrades!$G$13</f>
        <v>0</v>
      </c>
      <c r="H57" s="91">
        <f>D57*Upgrades!$G$21</f>
        <v>0</v>
      </c>
      <c r="I57" s="91">
        <f>D57*Upgrades!$G$29</f>
        <v>0</v>
      </c>
      <c r="J57" s="91">
        <f>D57*Upgrades!$G$37</f>
        <v>0</v>
      </c>
      <c r="K57" s="55">
        <v>0</v>
      </c>
      <c r="L57" s="38"/>
      <c r="T57" s="1"/>
    </row>
    <row r="58" spans="1:20" x14ac:dyDescent="0.25">
      <c r="A58" s="340"/>
      <c r="B58" s="40"/>
      <c r="C58" s="2" t="s">
        <v>18</v>
      </c>
      <c r="D58" s="54">
        <f>'Cost Elements'!C22</f>
        <v>0.41199999999999998</v>
      </c>
      <c r="E58" s="91">
        <f t="shared" si="34"/>
        <v>0.41199999999999998</v>
      </c>
      <c r="F58" s="91">
        <f>D58*Upgrades!$G$5</f>
        <v>0.82399999999999995</v>
      </c>
      <c r="G58" s="91">
        <f>D58*Upgrades!$G$13</f>
        <v>0</v>
      </c>
      <c r="H58" s="91">
        <f>D58*Upgrades!$G$21</f>
        <v>0</v>
      </c>
      <c r="I58" s="91">
        <f>D58*Upgrades!$G$29</f>
        <v>0</v>
      </c>
      <c r="J58" s="91">
        <f>D58*Upgrades!$G$37</f>
        <v>0</v>
      </c>
      <c r="K58" s="55">
        <v>0</v>
      </c>
      <c r="L58" s="38"/>
      <c r="T58" s="1"/>
    </row>
    <row r="59" spans="1:20" ht="16.5" x14ac:dyDescent="0.25">
      <c r="A59" s="340"/>
      <c r="B59" s="40" t="s">
        <v>83</v>
      </c>
      <c r="C59" s="2" t="s">
        <v>19</v>
      </c>
      <c r="D59" s="54">
        <f>'Cost Elements'!C23</f>
        <v>0.53800000000000003</v>
      </c>
      <c r="E59" s="91">
        <f t="shared" si="34"/>
        <v>0.53800000000000003</v>
      </c>
      <c r="F59" s="91">
        <f>D59*Upgrades!$G$5</f>
        <v>1.0760000000000001</v>
      </c>
      <c r="G59" s="91">
        <f>D59*Upgrades!$G$13</f>
        <v>0</v>
      </c>
      <c r="H59" s="91">
        <f>D59*Upgrades!$G$21</f>
        <v>0</v>
      </c>
      <c r="I59" s="91">
        <f>D59*Upgrades!$G$29</f>
        <v>0</v>
      </c>
      <c r="J59" s="91">
        <f>D59*Upgrades!$G$37</f>
        <v>0</v>
      </c>
      <c r="K59" s="55">
        <v>0</v>
      </c>
      <c r="L59" s="38"/>
      <c r="T59" s="1"/>
    </row>
    <row r="60" spans="1:20" ht="16.5" x14ac:dyDescent="0.25">
      <c r="A60" s="340"/>
      <c r="B60" s="40" t="s">
        <v>84</v>
      </c>
      <c r="C60" s="2" t="s">
        <v>20</v>
      </c>
      <c r="D60" s="54">
        <f>'Cost Elements'!C24</f>
        <v>0.443</v>
      </c>
      <c r="E60" s="91">
        <f t="shared" si="34"/>
        <v>0.443</v>
      </c>
      <c r="F60" s="91">
        <f>D60*Upgrades!$G$5</f>
        <v>0.88600000000000001</v>
      </c>
      <c r="G60" s="91">
        <f>D60*Upgrades!$G$13</f>
        <v>0</v>
      </c>
      <c r="H60" s="91">
        <f>D60*Upgrades!$G$21</f>
        <v>0</v>
      </c>
      <c r="I60" s="91">
        <f>D60*Upgrades!$G$29</f>
        <v>0</v>
      </c>
      <c r="J60" s="91">
        <f>D60*Upgrades!$G$37</f>
        <v>0</v>
      </c>
      <c r="K60" s="55">
        <v>0</v>
      </c>
      <c r="L60" s="38"/>
      <c r="T60" s="1"/>
    </row>
    <row r="61" spans="1:20" ht="16.5" x14ac:dyDescent="0.25">
      <c r="A61" s="340"/>
      <c r="B61" s="40" t="s">
        <v>73</v>
      </c>
      <c r="C61" s="2" t="s">
        <v>21</v>
      </c>
      <c r="D61" s="54">
        <f>'Cost Elements'!C25</f>
        <v>0.45</v>
      </c>
      <c r="E61" s="91">
        <f t="shared" si="34"/>
        <v>0.45</v>
      </c>
      <c r="F61" s="91">
        <f>D61*Upgrades!$G$5</f>
        <v>0.9</v>
      </c>
      <c r="G61" s="91">
        <f>D61*Upgrades!$G$13</f>
        <v>0</v>
      </c>
      <c r="H61" s="91">
        <f>D61*Upgrades!$G$21</f>
        <v>0</v>
      </c>
      <c r="I61" s="91">
        <f>D61*Upgrades!$G$29</f>
        <v>0</v>
      </c>
      <c r="J61" s="91">
        <f>D61*Upgrades!$G$37</f>
        <v>0</v>
      </c>
      <c r="K61" s="55">
        <v>0</v>
      </c>
      <c r="L61" s="38"/>
      <c r="T61" s="1"/>
    </row>
    <row r="62" spans="1:20" ht="16.5" x14ac:dyDescent="0.25">
      <c r="A62" s="340"/>
      <c r="B62" s="40" t="s">
        <v>83</v>
      </c>
      <c r="C62" s="2" t="s">
        <v>22</v>
      </c>
      <c r="D62" s="54">
        <f>'Cost Elements'!C26</f>
        <v>0.28299999999999997</v>
      </c>
      <c r="E62" s="91">
        <f t="shared" si="34"/>
        <v>0.28299999999999997</v>
      </c>
      <c r="F62" s="91">
        <f>D62*Upgrades!$G$5</f>
        <v>0.56599999999999995</v>
      </c>
      <c r="G62" s="91">
        <f>D62*Upgrades!$G$13</f>
        <v>0</v>
      </c>
      <c r="H62" s="91">
        <f>D62*Upgrades!$G$21</f>
        <v>0</v>
      </c>
      <c r="I62" s="91">
        <f>D62*Upgrades!$G$29</f>
        <v>0</v>
      </c>
      <c r="J62" s="91">
        <f>D62*Upgrades!$G$37</f>
        <v>0</v>
      </c>
      <c r="K62" s="55">
        <v>0</v>
      </c>
      <c r="L62" s="38"/>
      <c r="T62" s="1"/>
    </row>
    <row r="63" spans="1:20" ht="16.5" x14ac:dyDescent="0.25">
      <c r="A63" s="340"/>
      <c r="B63" s="40" t="s">
        <v>84</v>
      </c>
      <c r="C63" s="3" t="s">
        <v>23</v>
      </c>
      <c r="D63" s="54">
        <f>'Cost Elements'!C27</f>
        <v>0</v>
      </c>
      <c r="E63" s="91">
        <f t="shared" si="34"/>
        <v>0</v>
      </c>
      <c r="F63" s="91">
        <f>D63*Upgrades!$G$5</f>
        <v>0</v>
      </c>
      <c r="G63" s="91">
        <f>D63*Upgrades!$G$13</f>
        <v>0</v>
      </c>
      <c r="H63" s="91">
        <f>D63*Upgrades!$G$21</f>
        <v>0</v>
      </c>
      <c r="I63" s="91">
        <f>D63*Upgrades!$G$29</f>
        <v>0</v>
      </c>
      <c r="J63" s="91">
        <f>D63*Upgrades!$G$37</f>
        <v>0</v>
      </c>
      <c r="K63" s="55">
        <v>0</v>
      </c>
      <c r="L63" s="39"/>
      <c r="T63" s="1"/>
    </row>
    <row r="64" spans="1:20" ht="16.5" x14ac:dyDescent="0.25">
      <c r="A64" s="340"/>
      <c r="B64" s="40" t="s">
        <v>86</v>
      </c>
      <c r="C64" s="3" t="s">
        <v>24</v>
      </c>
      <c r="D64" s="54">
        <f>'Cost Elements'!C28</f>
        <v>1.113</v>
      </c>
      <c r="E64" s="91">
        <f t="shared" si="34"/>
        <v>1.113</v>
      </c>
      <c r="F64" s="91">
        <f>D64*Upgrades!$G$5</f>
        <v>2.226</v>
      </c>
      <c r="G64" s="91">
        <f>D64*Upgrades!$G$13</f>
        <v>0</v>
      </c>
      <c r="H64" s="91">
        <f>D64*Upgrades!$G$21</f>
        <v>0</v>
      </c>
      <c r="I64" s="91">
        <f>D64*Upgrades!$G$29</f>
        <v>0</v>
      </c>
      <c r="J64" s="91">
        <f>D64*Upgrades!$G$37</f>
        <v>0</v>
      </c>
      <c r="K64" s="55">
        <v>0</v>
      </c>
      <c r="L64" s="39"/>
      <c r="T64" s="1"/>
    </row>
    <row r="65" spans="1:20" ht="16.5" x14ac:dyDescent="0.25">
      <c r="A65" s="340"/>
      <c r="B65" s="40" t="s">
        <v>73</v>
      </c>
      <c r="C65" s="3" t="s">
        <v>25</v>
      </c>
      <c r="D65" s="54">
        <f>'Cost Elements'!C29</f>
        <v>1.103</v>
      </c>
      <c r="E65" s="91">
        <f t="shared" si="34"/>
        <v>1.103</v>
      </c>
      <c r="F65" s="91">
        <f>D65*Upgrades!$G$5</f>
        <v>2.206</v>
      </c>
      <c r="G65" s="91">
        <f>D65*Upgrades!$G$13</f>
        <v>0</v>
      </c>
      <c r="H65" s="91">
        <f>D65*Upgrades!$G$21</f>
        <v>0</v>
      </c>
      <c r="I65" s="91">
        <f>D65*Upgrades!$G$29</f>
        <v>0</v>
      </c>
      <c r="J65" s="91">
        <f>D65*Upgrades!$G$37</f>
        <v>0</v>
      </c>
      <c r="K65" s="55">
        <v>0</v>
      </c>
      <c r="L65" s="39"/>
      <c r="T65" s="1"/>
    </row>
    <row r="66" spans="1:20" ht="16.5" x14ac:dyDescent="0.25">
      <c r="A66" s="340"/>
      <c r="B66" s="40" t="s">
        <v>87</v>
      </c>
      <c r="C66" s="3" t="s">
        <v>26</v>
      </c>
      <c r="D66" s="54">
        <f>'Cost Elements'!C30</f>
        <v>0.72299999999999998</v>
      </c>
      <c r="E66" s="91">
        <f t="shared" si="34"/>
        <v>0.72299999999999998</v>
      </c>
      <c r="F66" s="91">
        <f>D66*Upgrades!$G$5</f>
        <v>1.446</v>
      </c>
      <c r="G66" s="91">
        <f>D66*Upgrades!$G$13</f>
        <v>0</v>
      </c>
      <c r="H66" s="91">
        <f>D66*Upgrades!$G$21</f>
        <v>0</v>
      </c>
      <c r="I66" s="91">
        <f>D66*Upgrades!$G$29</f>
        <v>0</v>
      </c>
      <c r="J66" s="91">
        <f>D66*Upgrades!$G$37</f>
        <v>0</v>
      </c>
      <c r="K66" s="55">
        <v>0</v>
      </c>
      <c r="L66" s="39"/>
      <c r="T66" s="1"/>
    </row>
    <row r="67" spans="1:20" x14ac:dyDescent="0.25">
      <c r="A67" s="340"/>
      <c r="B67" s="15"/>
      <c r="C67" s="3" t="s">
        <v>33</v>
      </c>
      <c r="D67" s="54">
        <f>'Cost Elements'!C31</f>
        <v>0</v>
      </c>
      <c r="E67" s="91">
        <f t="shared" si="34"/>
        <v>0</v>
      </c>
      <c r="F67" s="91">
        <f>D67*Upgrades!$G$5</f>
        <v>0</v>
      </c>
      <c r="G67" s="91">
        <f>D67*Upgrades!$G$13</f>
        <v>0</v>
      </c>
      <c r="H67" s="91">
        <f>D67*Upgrades!$G$21</f>
        <v>0</v>
      </c>
      <c r="I67" s="91">
        <f>D67*Upgrades!$G$29</f>
        <v>0</v>
      </c>
      <c r="J67" s="91">
        <f>D67*Upgrades!$G$37</f>
        <v>0</v>
      </c>
      <c r="K67" s="55">
        <v>0</v>
      </c>
      <c r="L67" s="39"/>
      <c r="T67" s="1"/>
    </row>
    <row r="68" spans="1:20" x14ac:dyDescent="0.25">
      <c r="A68" s="340"/>
      <c r="B68" s="15"/>
      <c r="C68" s="3" t="s">
        <v>27</v>
      </c>
      <c r="D68" s="54">
        <f>'Cost Elements'!C32</f>
        <v>0</v>
      </c>
      <c r="E68" s="91">
        <f t="shared" si="34"/>
        <v>0</v>
      </c>
      <c r="F68" s="91">
        <f>D68*Upgrades!$G$5</f>
        <v>0</v>
      </c>
      <c r="G68" s="91">
        <f>D68*Upgrades!$G$13</f>
        <v>0</v>
      </c>
      <c r="H68" s="91">
        <f>D68*Upgrades!$G$21</f>
        <v>0</v>
      </c>
      <c r="I68" s="91">
        <f>D68*Upgrades!$G$29</f>
        <v>0</v>
      </c>
      <c r="J68" s="91">
        <f>D68*Upgrades!$G$37</f>
        <v>0</v>
      </c>
      <c r="K68" s="55">
        <v>0</v>
      </c>
      <c r="L68" s="39"/>
      <c r="T68" s="1"/>
    </row>
    <row r="69" spans="1:20" ht="16.5" x14ac:dyDescent="0.25">
      <c r="A69" s="340"/>
      <c r="B69" s="40" t="s">
        <v>83</v>
      </c>
      <c r="C69" s="3" t="s">
        <v>34</v>
      </c>
      <c r="D69" s="54">
        <f>'Cost Elements'!C33</f>
        <v>0.56299999999999994</v>
      </c>
      <c r="E69" s="91">
        <f t="shared" si="34"/>
        <v>0.56299999999999994</v>
      </c>
      <c r="F69" s="91">
        <f>D69*Upgrades!$G$5</f>
        <v>1.1259999999999999</v>
      </c>
      <c r="G69" s="91">
        <f>D69*Upgrades!$G$13</f>
        <v>0</v>
      </c>
      <c r="H69" s="91">
        <f>D69*Upgrades!$G$21</f>
        <v>0</v>
      </c>
      <c r="I69" s="91">
        <f>D69*Upgrades!$G$29</f>
        <v>0</v>
      </c>
      <c r="J69" s="91">
        <f>D69*Upgrades!$G$37</f>
        <v>0</v>
      </c>
      <c r="K69" s="55">
        <v>0</v>
      </c>
      <c r="L69" s="39"/>
      <c r="T69" s="1"/>
    </row>
    <row r="70" spans="1:20" ht="16.5" x14ac:dyDescent="0.25">
      <c r="A70" s="340"/>
      <c r="B70" s="40" t="s">
        <v>84</v>
      </c>
      <c r="C70" s="3" t="s">
        <v>28</v>
      </c>
      <c r="D70" s="54">
        <f>'Cost Elements'!C34</f>
        <v>0</v>
      </c>
      <c r="E70" s="91">
        <f t="shared" si="34"/>
        <v>0</v>
      </c>
      <c r="F70" s="91">
        <f>D70*Upgrades!$G$5</f>
        <v>0</v>
      </c>
      <c r="G70" s="91">
        <f>D70*Upgrades!$G$13</f>
        <v>0</v>
      </c>
      <c r="H70" s="91">
        <f>D70*Upgrades!$G$21</f>
        <v>0</v>
      </c>
      <c r="I70" s="91">
        <f>D70*Upgrades!$G$29</f>
        <v>0</v>
      </c>
      <c r="J70" s="91">
        <f>D70*Upgrades!$G$37</f>
        <v>0</v>
      </c>
      <c r="K70" s="55">
        <v>0</v>
      </c>
      <c r="L70" s="39"/>
      <c r="T70" s="1"/>
    </row>
    <row r="71" spans="1:20" ht="16.5" x14ac:dyDescent="0.25">
      <c r="A71" s="340"/>
      <c r="B71" s="40" t="s">
        <v>76</v>
      </c>
      <c r="C71" s="3" t="s">
        <v>35</v>
      </c>
      <c r="D71" s="54">
        <f>'Cost Elements'!C35</f>
        <v>0.65300000000000002</v>
      </c>
      <c r="E71" s="91">
        <f t="shared" si="34"/>
        <v>0.65300000000000002</v>
      </c>
      <c r="F71" s="91">
        <f>D71*Upgrades!$G$5</f>
        <v>1.306</v>
      </c>
      <c r="G71" s="91">
        <f>D71*Upgrades!$G$13</f>
        <v>0</v>
      </c>
      <c r="H71" s="91">
        <f>D71*Upgrades!$G$21</f>
        <v>0</v>
      </c>
      <c r="I71" s="91">
        <f>D71*Upgrades!$G$29</f>
        <v>0</v>
      </c>
      <c r="J71" s="91">
        <f>D71*Upgrades!$G$37</f>
        <v>0</v>
      </c>
      <c r="K71" s="55">
        <v>0</v>
      </c>
      <c r="L71" s="39"/>
      <c r="T71" s="1"/>
    </row>
    <row r="72" spans="1:20" x14ac:dyDescent="0.25">
      <c r="A72" s="340"/>
      <c r="B72" s="40"/>
      <c r="C72" s="3" t="s">
        <v>29</v>
      </c>
      <c r="D72" s="54">
        <f>'Cost Elements'!C36</f>
        <v>0</v>
      </c>
      <c r="E72" s="91">
        <f t="shared" si="34"/>
        <v>0</v>
      </c>
      <c r="F72" s="91">
        <f>D72*Upgrades!$G$5</f>
        <v>0</v>
      </c>
      <c r="G72" s="91">
        <f>D72*Upgrades!$G$13</f>
        <v>0</v>
      </c>
      <c r="H72" s="91">
        <f>D72*Upgrades!$G$21</f>
        <v>0</v>
      </c>
      <c r="I72" s="91">
        <f>D72*Upgrades!$G$29</f>
        <v>0</v>
      </c>
      <c r="J72" s="91">
        <f>D72*Upgrades!$G$37</f>
        <v>0</v>
      </c>
      <c r="K72" s="55">
        <v>0</v>
      </c>
      <c r="L72" s="39"/>
      <c r="T72" s="1"/>
    </row>
    <row r="73" spans="1:20" ht="16.5" x14ac:dyDescent="0.25">
      <c r="A73" s="340"/>
      <c r="B73" s="40" t="s">
        <v>85</v>
      </c>
      <c r="C73" s="3" t="s">
        <v>30</v>
      </c>
      <c r="D73" s="54">
        <f>'Cost Elements'!C37</f>
        <v>0.45250000000000001</v>
      </c>
      <c r="E73" s="91">
        <f t="shared" si="34"/>
        <v>0.45250000000000001</v>
      </c>
      <c r="F73" s="91">
        <f>D73*Upgrades!$G$5</f>
        <v>0.90500000000000003</v>
      </c>
      <c r="G73" s="91">
        <f>D73*Upgrades!$G$13</f>
        <v>0</v>
      </c>
      <c r="H73" s="91">
        <f>D73*Upgrades!$G$21</f>
        <v>0</v>
      </c>
      <c r="I73" s="91">
        <f>D73*Upgrades!$G$29</f>
        <v>0</v>
      </c>
      <c r="J73" s="91">
        <f>D73*Upgrades!$G$37</f>
        <v>0</v>
      </c>
      <c r="K73" s="55">
        <v>0</v>
      </c>
      <c r="L73" s="39"/>
      <c r="T73" s="1"/>
    </row>
    <row r="74" spans="1:20" ht="16.5" x14ac:dyDescent="0.25">
      <c r="A74" s="340"/>
      <c r="B74" s="40" t="s">
        <v>73</v>
      </c>
      <c r="C74" s="3" t="s">
        <v>31</v>
      </c>
      <c r="D74" s="54">
        <f>'Cost Elements'!C38</f>
        <v>0</v>
      </c>
      <c r="E74" s="91">
        <f t="shared" si="34"/>
        <v>0</v>
      </c>
      <c r="F74" s="91">
        <f>D74*Upgrades!$G$5</f>
        <v>0</v>
      </c>
      <c r="G74" s="91">
        <f>D74*Upgrades!$G$13</f>
        <v>0</v>
      </c>
      <c r="H74" s="91">
        <f>D74*Upgrades!$G$21</f>
        <v>0</v>
      </c>
      <c r="I74" s="91">
        <f>D74*Upgrades!$G$29</f>
        <v>0</v>
      </c>
      <c r="J74" s="91">
        <f>D74*Upgrades!$G$37</f>
        <v>0</v>
      </c>
      <c r="K74" s="55">
        <v>0</v>
      </c>
      <c r="L74" s="39"/>
      <c r="T74" s="1"/>
    </row>
    <row r="75" spans="1:20" ht="16.5" x14ac:dyDescent="0.25">
      <c r="A75" s="340"/>
      <c r="B75" s="40" t="s">
        <v>83</v>
      </c>
      <c r="C75" s="3" t="s">
        <v>36</v>
      </c>
      <c r="D75" s="54">
        <f>'Cost Elements'!C39</f>
        <v>0</v>
      </c>
      <c r="E75" s="91">
        <f t="shared" si="34"/>
        <v>0</v>
      </c>
      <c r="F75" s="91">
        <f>D75*Upgrades!$G$5</f>
        <v>0</v>
      </c>
      <c r="G75" s="91">
        <f>D75*Upgrades!$G$13</f>
        <v>0</v>
      </c>
      <c r="H75" s="91">
        <f>D75*Upgrades!$G$21</f>
        <v>0</v>
      </c>
      <c r="I75" s="91">
        <f>D75*Upgrades!$G$29</f>
        <v>0</v>
      </c>
      <c r="J75" s="91">
        <f>D75*Upgrades!$G$37</f>
        <v>0</v>
      </c>
      <c r="K75" s="55">
        <v>0</v>
      </c>
      <c r="L75" s="39"/>
      <c r="T75" s="1"/>
    </row>
    <row r="76" spans="1:20" ht="16.5" x14ac:dyDescent="0.25">
      <c r="A76" s="340"/>
      <c r="B76" s="40" t="s">
        <v>84</v>
      </c>
      <c r="C76" s="3" t="s">
        <v>37</v>
      </c>
      <c r="D76" s="54">
        <f>'Cost Elements'!C40</f>
        <v>0</v>
      </c>
      <c r="E76" s="91">
        <f t="shared" si="34"/>
        <v>0</v>
      </c>
      <c r="F76" s="91">
        <f>D76*Upgrades!$G$5</f>
        <v>0</v>
      </c>
      <c r="G76" s="91">
        <f>D76*Upgrades!$G$13</f>
        <v>0</v>
      </c>
      <c r="H76" s="91">
        <f>D76*Upgrades!$G$21</f>
        <v>0</v>
      </c>
      <c r="I76" s="91">
        <f>D76*Upgrades!$G$29</f>
        <v>0</v>
      </c>
      <c r="J76" s="91">
        <f>D76*Upgrades!$G$37</f>
        <v>0</v>
      </c>
      <c r="K76" s="55">
        <v>0</v>
      </c>
      <c r="L76" s="39"/>
      <c r="T76" s="1"/>
    </row>
    <row r="77" spans="1:20" ht="16.5" x14ac:dyDescent="0.25">
      <c r="A77" s="340"/>
      <c r="B77" s="40" t="s">
        <v>86</v>
      </c>
      <c r="C77" s="3" t="s">
        <v>32</v>
      </c>
      <c r="D77" s="54">
        <f>'Cost Elements'!C41</f>
        <v>0.3725</v>
      </c>
      <c r="E77" s="91">
        <f t="shared" si="34"/>
        <v>0.3725</v>
      </c>
      <c r="F77" s="91">
        <f>D77*Upgrades!$G$5</f>
        <v>0.745</v>
      </c>
      <c r="G77" s="91">
        <f>D77*Upgrades!$G$13</f>
        <v>0</v>
      </c>
      <c r="H77" s="91">
        <f>D77*Upgrades!$G$21</f>
        <v>0</v>
      </c>
      <c r="I77" s="91">
        <f>D77*Upgrades!$G$29</f>
        <v>0</v>
      </c>
      <c r="J77" s="91">
        <f>D77*Upgrades!$G$37</f>
        <v>0</v>
      </c>
      <c r="K77" s="55">
        <v>0</v>
      </c>
      <c r="L77" s="39"/>
      <c r="T77" s="1"/>
    </row>
    <row r="78" spans="1:20" ht="16.5" x14ac:dyDescent="0.25">
      <c r="A78" s="340"/>
      <c r="B78" s="40" t="s">
        <v>73</v>
      </c>
      <c r="C78" s="3" t="s">
        <v>38</v>
      </c>
      <c r="D78" s="54">
        <f>'Cost Elements'!C42</f>
        <v>0</v>
      </c>
      <c r="E78" s="91">
        <f t="shared" si="34"/>
        <v>0</v>
      </c>
      <c r="F78" s="91">
        <f>D78*Upgrades!$G$5</f>
        <v>0</v>
      </c>
      <c r="G78" s="91">
        <f>D78*Upgrades!$G$13</f>
        <v>0</v>
      </c>
      <c r="H78" s="91">
        <f>D78*Upgrades!$G$21</f>
        <v>0</v>
      </c>
      <c r="I78" s="91">
        <f>D78*Upgrades!$G$29</f>
        <v>0</v>
      </c>
      <c r="J78" s="91">
        <f>D78*Upgrades!$G$37</f>
        <v>0</v>
      </c>
      <c r="K78" s="55">
        <v>0</v>
      </c>
      <c r="L78" s="39"/>
      <c r="T78" s="1"/>
    </row>
    <row r="79" spans="1:20" ht="16.5" x14ac:dyDescent="0.25">
      <c r="A79" s="340"/>
      <c r="B79" s="40" t="s">
        <v>87</v>
      </c>
      <c r="C79" s="2" t="s">
        <v>39</v>
      </c>
      <c r="D79" s="54">
        <f>'Cost Elements'!C43</f>
        <v>1.4</v>
      </c>
      <c r="E79" s="91">
        <f t="shared" si="34"/>
        <v>1.4</v>
      </c>
      <c r="F79" s="91">
        <f>D79*Upgrades!$G$5</f>
        <v>2.8</v>
      </c>
      <c r="G79" s="91">
        <f>D79*Upgrades!$G$13</f>
        <v>0</v>
      </c>
      <c r="H79" s="91">
        <f>D79*Upgrades!$G$21</f>
        <v>0</v>
      </c>
      <c r="I79" s="91">
        <f>D79*Upgrades!$G$29</f>
        <v>0</v>
      </c>
      <c r="J79" s="91">
        <f>D79*Upgrades!$G$37</f>
        <v>0</v>
      </c>
      <c r="K79" s="55">
        <v>0</v>
      </c>
      <c r="L79" s="38"/>
      <c r="T79" s="1"/>
    </row>
    <row r="80" spans="1:20" x14ac:dyDescent="0.25">
      <c r="A80" s="340"/>
      <c r="B80" s="15"/>
      <c r="C80" s="2" t="s">
        <v>40</v>
      </c>
      <c r="D80" s="54">
        <f>'Cost Elements'!C44</f>
        <v>1.46</v>
      </c>
      <c r="E80" s="91">
        <f t="shared" si="34"/>
        <v>1.46</v>
      </c>
      <c r="F80" s="91">
        <f>D80*Upgrades!$G$5</f>
        <v>2.92</v>
      </c>
      <c r="G80" s="91">
        <f>D80*Upgrades!$G$13</f>
        <v>0</v>
      </c>
      <c r="H80" s="91">
        <f>D80*Upgrades!$G$21</f>
        <v>0</v>
      </c>
      <c r="I80" s="91">
        <f>D80*Upgrades!$G$29</f>
        <v>0</v>
      </c>
      <c r="J80" s="91">
        <f>D80*Upgrades!$G$37</f>
        <v>0</v>
      </c>
      <c r="K80" s="55">
        <v>0</v>
      </c>
      <c r="L80" s="38"/>
      <c r="T80" s="1"/>
    </row>
    <row r="81" spans="1:20" x14ac:dyDescent="0.25">
      <c r="A81" s="340"/>
      <c r="B81" s="15"/>
      <c r="C81" s="2" t="s">
        <v>41</v>
      </c>
      <c r="D81" s="54">
        <f>'Cost Elements'!C45</f>
        <v>0.9325</v>
      </c>
      <c r="E81" s="91">
        <f t="shared" si="34"/>
        <v>0.9325</v>
      </c>
      <c r="F81" s="91">
        <f>D81*Upgrades!$G$5</f>
        <v>1.865</v>
      </c>
      <c r="G81" s="91">
        <f>D81*Upgrades!$G$13</f>
        <v>0</v>
      </c>
      <c r="H81" s="91">
        <f>D81*Upgrades!$G$21</f>
        <v>0</v>
      </c>
      <c r="I81" s="91">
        <f>D81*Upgrades!$G$29</f>
        <v>0</v>
      </c>
      <c r="J81" s="91">
        <f>D81*Upgrades!$G$37</f>
        <v>0</v>
      </c>
      <c r="K81" s="55">
        <v>0</v>
      </c>
      <c r="L81" s="38"/>
      <c r="T81" s="1"/>
    </row>
    <row r="82" spans="1:20" ht="16.5" x14ac:dyDescent="0.25">
      <c r="A82" s="340"/>
      <c r="B82" s="40" t="s">
        <v>83</v>
      </c>
      <c r="C82" s="2" t="s">
        <v>42</v>
      </c>
      <c r="D82" s="54">
        <f>'Cost Elements'!C46</f>
        <v>0</v>
      </c>
      <c r="E82" s="91">
        <f t="shared" si="34"/>
        <v>0</v>
      </c>
      <c r="F82" s="91">
        <f>D82*Upgrades!$G$5</f>
        <v>0</v>
      </c>
      <c r="G82" s="91">
        <f>D82*Upgrades!$G$13</f>
        <v>0</v>
      </c>
      <c r="H82" s="91">
        <f>D82*Upgrades!$G$21</f>
        <v>0</v>
      </c>
      <c r="I82" s="91">
        <f>D82*Upgrades!$G$29</f>
        <v>0</v>
      </c>
      <c r="J82" s="91">
        <f>D82*Upgrades!$G$37</f>
        <v>0</v>
      </c>
      <c r="K82" s="55">
        <v>0</v>
      </c>
      <c r="L82" s="38"/>
      <c r="T82" s="1"/>
    </row>
    <row r="83" spans="1:20" ht="16.5" x14ac:dyDescent="0.25">
      <c r="A83" s="340"/>
      <c r="B83" s="40" t="s">
        <v>84</v>
      </c>
      <c r="C83" s="2" t="s">
        <v>43</v>
      </c>
      <c r="D83" s="54">
        <f>'Cost Elements'!C47</f>
        <v>0.75249999999999995</v>
      </c>
      <c r="E83" s="91">
        <f t="shared" si="34"/>
        <v>0.75249999999999995</v>
      </c>
      <c r="F83" s="91">
        <f>D83*Upgrades!$G$5</f>
        <v>1.5049999999999999</v>
      </c>
      <c r="G83" s="91">
        <f>D83*Upgrades!$G$13</f>
        <v>0</v>
      </c>
      <c r="H83" s="91">
        <f>D83*Upgrades!$G$21</f>
        <v>0</v>
      </c>
      <c r="I83" s="91">
        <f>D83*Upgrades!$G$29</f>
        <v>0</v>
      </c>
      <c r="J83" s="91">
        <f>D83*Upgrades!$G$37</f>
        <v>0</v>
      </c>
      <c r="K83" s="55">
        <v>0</v>
      </c>
      <c r="L83" s="38"/>
      <c r="T83" s="1"/>
    </row>
    <row r="84" spans="1:20" ht="16.5" x14ac:dyDescent="0.25">
      <c r="A84" s="340"/>
      <c r="B84" s="40" t="s">
        <v>76</v>
      </c>
      <c r="C84" s="2" t="s">
        <v>53</v>
      </c>
      <c r="D84" s="54">
        <f>'Cost Elements'!C48</f>
        <v>0</v>
      </c>
      <c r="E84" s="91">
        <f t="shared" si="34"/>
        <v>0</v>
      </c>
      <c r="F84" s="91">
        <f>D84*Upgrades!$G$5</f>
        <v>0</v>
      </c>
      <c r="G84" s="91">
        <f>D84*Upgrades!$G$13</f>
        <v>0</v>
      </c>
      <c r="H84" s="91">
        <f>D84*Upgrades!$G$21</f>
        <v>0</v>
      </c>
      <c r="I84" s="91">
        <f>D84*Upgrades!$G$29</f>
        <v>0</v>
      </c>
      <c r="J84" s="91">
        <f>D84*Upgrades!$G$37</f>
        <v>0</v>
      </c>
      <c r="K84" s="55">
        <v>0</v>
      </c>
      <c r="L84" s="38"/>
      <c r="T84" s="1"/>
    </row>
    <row r="85" spans="1:20" x14ac:dyDescent="0.25">
      <c r="A85" s="340"/>
      <c r="B85" s="40"/>
      <c r="C85" s="2" t="s">
        <v>44</v>
      </c>
      <c r="D85" s="54">
        <f>'Cost Elements'!C49</f>
        <v>0.84</v>
      </c>
      <c r="E85" s="91">
        <f t="shared" si="34"/>
        <v>0.84</v>
      </c>
      <c r="F85" s="91">
        <f>D85*Upgrades!$G$5</f>
        <v>1.68</v>
      </c>
      <c r="G85" s="91">
        <f>D85*Upgrades!$G$13</f>
        <v>0</v>
      </c>
      <c r="H85" s="91">
        <f>D85*Upgrades!$G$21</f>
        <v>0</v>
      </c>
      <c r="I85" s="91">
        <f>D85*Upgrades!$G$29</f>
        <v>0</v>
      </c>
      <c r="J85" s="91">
        <f>D85*Upgrades!$G$37</f>
        <v>0</v>
      </c>
      <c r="K85" s="55">
        <v>0</v>
      </c>
      <c r="L85" s="38"/>
      <c r="T85" s="1"/>
    </row>
    <row r="86" spans="1:20" ht="16.5" x14ac:dyDescent="0.25">
      <c r="A86" s="340"/>
      <c r="B86" s="40" t="s">
        <v>85</v>
      </c>
      <c r="C86" s="2" t="s">
        <v>45</v>
      </c>
      <c r="D86" s="54">
        <f>'Cost Elements'!C50</f>
        <v>0</v>
      </c>
      <c r="E86" s="91">
        <f t="shared" ref="E86:E110" si="35">D86</f>
        <v>0</v>
      </c>
      <c r="F86" s="91">
        <f>D86*Upgrades!$G$5</f>
        <v>0</v>
      </c>
      <c r="G86" s="91">
        <f>D86*Upgrades!$G$13</f>
        <v>0</v>
      </c>
      <c r="H86" s="91">
        <f>D86*Upgrades!$G$21</f>
        <v>0</v>
      </c>
      <c r="I86" s="91">
        <f>D86*Upgrades!$G$29</f>
        <v>0</v>
      </c>
      <c r="J86" s="91">
        <f>D86*Upgrades!$G$37</f>
        <v>0</v>
      </c>
      <c r="K86" s="55">
        <v>0</v>
      </c>
      <c r="L86" s="38"/>
      <c r="T86" s="1"/>
    </row>
    <row r="87" spans="1:20" ht="16.5" x14ac:dyDescent="0.25">
      <c r="A87" s="340"/>
      <c r="B87" s="40" t="s">
        <v>73</v>
      </c>
      <c r="C87" s="2" t="s">
        <v>46</v>
      </c>
      <c r="D87" s="54">
        <f>'Cost Elements'!C51</f>
        <v>0.74</v>
      </c>
      <c r="E87" s="91">
        <f t="shared" si="35"/>
        <v>0.74</v>
      </c>
      <c r="F87" s="91">
        <f>D87*Upgrades!$G$5</f>
        <v>1.48</v>
      </c>
      <c r="G87" s="91">
        <f>D87*Upgrades!$G$13</f>
        <v>0</v>
      </c>
      <c r="H87" s="91">
        <f>D87*Upgrades!$G$21</f>
        <v>0</v>
      </c>
      <c r="I87" s="91">
        <f>D87*Upgrades!$G$29</f>
        <v>0</v>
      </c>
      <c r="J87" s="91">
        <f>D87*Upgrades!$G$37</f>
        <v>0</v>
      </c>
      <c r="K87" s="55">
        <v>0</v>
      </c>
      <c r="L87" s="38"/>
      <c r="T87" s="1"/>
    </row>
    <row r="88" spans="1:20" ht="16.5" x14ac:dyDescent="0.25">
      <c r="A88" s="340"/>
      <c r="B88" s="40" t="s">
        <v>83</v>
      </c>
      <c r="C88" s="2" t="s">
        <v>47</v>
      </c>
      <c r="D88" s="54">
        <f>'Cost Elements'!C52</f>
        <v>0.65</v>
      </c>
      <c r="E88" s="91">
        <f t="shared" si="35"/>
        <v>0.65</v>
      </c>
      <c r="F88" s="91">
        <f>D88*Upgrades!$G$5</f>
        <v>1.3</v>
      </c>
      <c r="G88" s="91">
        <f>D88*Upgrades!$G$13</f>
        <v>0</v>
      </c>
      <c r="H88" s="91">
        <f>D88*Upgrades!$G$21</f>
        <v>0</v>
      </c>
      <c r="I88" s="91">
        <f>D88*Upgrades!$G$29</f>
        <v>0</v>
      </c>
      <c r="J88" s="91">
        <f>D88*Upgrades!$G$37</f>
        <v>0</v>
      </c>
      <c r="K88" s="55">
        <v>0</v>
      </c>
      <c r="L88" s="38"/>
      <c r="T88" s="1"/>
    </row>
    <row r="89" spans="1:20" ht="16.5" x14ac:dyDescent="0.25">
      <c r="A89" s="340"/>
      <c r="B89" s="40" t="s">
        <v>84</v>
      </c>
      <c r="C89" s="2" t="s">
        <v>48</v>
      </c>
      <c r="D89" s="54">
        <f>'Cost Elements'!C53</f>
        <v>0</v>
      </c>
      <c r="E89" s="91">
        <f t="shared" si="35"/>
        <v>0</v>
      </c>
      <c r="F89" s="91">
        <f>D89*Upgrades!$G$5</f>
        <v>0</v>
      </c>
      <c r="G89" s="91">
        <f>D89*Upgrades!$G$13</f>
        <v>0</v>
      </c>
      <c r="H89" s="91">
        <f>D89*Upgrades!$G$21</f>
        <v>0</v>
      </c>
      <c r="I89" s="91">
        <f>D89*Upgrades!$G$29</f>
        <v>0</v>
      </c>
      <c r="J89" s="91">
        <f>D89*Upgrades!$G$37</f>
        <v>0</v>
      </c>
      <c r="K89" s="55">
        <v>0</v>
      </c>
      <c r="L89" s="38"/>
      <c r="T89" s="1"/>
    </row>
    <row r="90" spans="1:20" ht="16.5" x14ac:dyDescent="0.25">
      <c r="A90" s="340"/>
      <c r="B90" s="40" t="s">
        <v>86</v>
      </c>
      <c r="C90" s="2" t="s">
        <v>54</v>
      </c>
      <c r="D90" s="54">
        <f>'Cost Elements'!C54</f>
        <v>0</v>
      </c>
      <c r="E90" s="91">
        <f t="shared" si="35"/>
        <v>0</v>
      </c>
      <c r="F90" s="91">
        <f>D90*Upgrades!$G$5</f>
        <v>0</v>
      </c>
      <c r="G90" s="91">
        <f>D90*Upgrades!$G$13</f>
        <v>0</v>
      </c>
      <c r="H90" s="91">
        <f>D90*Upgrades!$G$21</f>
        <v>0</v>
      </c>
      <c r="I90" s="91">
        <f>D90*Upgrades!$G$29</f>
        <v>0</v>
      </c>
      <c r="J90" s="91">
        <f>D90*Upgrades!$G$37</f>
        <v>0</v>
      </c>
      <c r="K90" s="55">
        <v>0</v>
      </c>
      <c r="L90" s="38"/>
      <c r="T90" s="1"/>
    </row>
    <row r="91" spans="1:20" ht="16.5" x14ac:dyDescent="0.25">
      <c r="A91" s="340"/>
      <c r="B91" s="40" t="s">
        <v>73</v>
      </c>
      <c r="C91" s="2" t="s">
        <v>49</v>
      </c>
      <c r="D91" s="54">
        <f>'Cost Elements'!C55</f>
        <v>0</v>
      </c>
      <c r="E91" s="91">
        <f t="shared" si="35"/>
        <v>0</v>
      </c>
      <c r="F91" s="91">
        <f>D91*Upgrades!$G$5</f>
        <v>0</v>
      </c>
      <c r="G91" s="91">
        <f>D91*Upgrades!$G$13</f>
        <v>0</v>
      </c>
      <c r="H91" s="91">
        <f>D91*Upgrades!$G$21</f>
        <v>0</v>
      </c>
      <c r="I91" s="91">
        <f>D91*Upgrades!$G$29</f>
        <v>0</v>
      </c>
      <c r="J91" s="91">
        <f>D91*Upgrades!$G$37</f>
        <v>0</v>
      </c>
      <c r="K91" s="55">
        <v>0</v>
      </c>
      <c r="L91" s="38"/>
      <c r="T91" s="1"/>
    </row>
    <row r="92" spans="1:20" ht="16.5" x14ac:dyDescent="0.25">
      <c r="A92" s="340"/>
      <c r="B92" s="40" t="s">
        <v>87</v>
      </c>
      <c r="C92" s="2" t="s">
        <v>50</v>
      </c>
      <c r="D92" s="54">
        <f>'Cost Elements'!C56</f>
        <v>0</v>
      </c>
      <c r="E92" s="91">
        <f t="shared" si="35"/>
        <v>0</v>
      </c>
      <c r="F92" s="91">
        <f>D92*Upgrades!$G$5</f>
        <v>0</v>
      </c>
      <c r="G92" s="91">
        <f>D92*Upgrades!$G$13</f>
        <v>0</v>
      </c>
      <c r="H92" s="91">
        <f>D92*Upgrades!$G$21</f>
        <v>0</v>
      </c>
      <c r="I92" s="91">
        <f>D92*Upgrades!$G$29</f>
        <v>0</v>
      </c>
      <c r="J92" s="91">
        <f>D92*Upgrades!$G$37</f>
        <v>0</v>
      </c>
      <c r="K92" s="55">
        <v>0</v>
      </c>
      <c r="L92" s="38"/>
      <c r="T92" s="1"/>
    </row>
    <row r="93" spans="1:20" x14ac:dyDescent="0.25">
      <c r="A93" s="340"/>
      <c r="B93" s="15"/>
      <c r="C93" s="2" t="s">
        <v>51</v>
      </c>
      <c r="D93" s="54">
        <f>'Cost Elements'!C57</f>
        <v>0.45</v>
      </c>
      <c r="E93" s="91">
        <f t="shared" si="35"/>
        <v>0.45</v>
      </c>
      <c r="F93" s="91">
        <f>D93*Upgrades!$G$5</f>
        <v>0.9</v>
      </c>
      <c r="G93" s="91">
        <f>D93*Upgrades!$G$13</f>
        <v>0</v>
      </c>
      <c r="H93" s="91">
        <f>D93*Upgrades!$G$21</f>
        <v>0</v>
      </c>
      <c r="I93" s="91">
        <f>D93*Upgrades!$G$29</f>
        <v>0</v>
      </c>
      <c r="J93" s="91">
        <f>D93*Upgrades!$G$37</f>
        <v>0</v>
      </c>
      <c r="K93" s="55">
        <v>0</v>
      </c>
      <c r="L93" s="38"/>
      <c r="T93" s="1"/>
    </row>
    <row r="94" spans="1:20" x14ac:dyDescent="0.25">
      <c r="A94" s="340"/>
      <c r="B94" s="15"/>
      <c r="C94" s="2" t="s">
        <v>52</v>
      </c>
      <c r="D94" s="54">
        <f>'Cost Elements'!C58</f>
        <v>0</v>
      </c>
      <c r="E94" s="91">
        <f t="shared" si="35"/>
        <v>0</v>
      </c>
      <c r="F94" s="91">
        <f>D94*Upgrades!$G$5</f>
        <v>0</v>
      </c>
      <c r="G94" s="91">
        <f>D94*Upgrades!$G$13</f>
        <v>0</v>
      </c>
      <c r="H94" s="91">
        <f>D94*Upgrades!$G$21</f>
        <v>0</v>
      </c>
      <c r="I94" s="91">
        <f>D94*Upgrades!$G$29</f>
        <v>0</v>
      </c>
      <c r="J94" s="91">
        <f>D94*Upgrades!$G$37</f>
        <v>0</v>
      </c>
      <c r="K94" s="55">
        <v>0</v>
      </c>
      <c r="L94" s="38"/>
      <c r="T94" s="1"/>
    </row>
    <row r="95" spans="1:20" x14ac:dyDescent="0.25">
      <c r="A95" s="340"/>
      <c r="B95" s="15"/>
      <c r="C95" s="18" t="s">
        <v>93</v>
      </c>
      <c r="D95" s="54">
        <f>'Cost Elements'!C59</f>
        <v>2.15</v>
      </c>
      <c r="E95" s="91">
        <f t="shared" si="35"/>
        <v>2.15</v>
      </c>
      <c r="F95" s="91">
        <f>D95*Upgrades!$G$5</f>
        <v>4.3</v>
      </c>
      <c r="G95" s="91">
        <f>D95*Upgrades!$G$13</f>
        <v>0</v>
      </c>
      <c r="H95" s="91">
        <f>D95*Upgrades!$G$21</f>
        <v>0</v>
      </c>
      <c r="I95" s="91">
        <f>D95*Upgrades!$G$29</f>
        <v>0</v>
      </c>
      <c r="J95" s="91">
        <f>D95*Upgrades!$G$37</f>
        <v>0</v>
      </c>
      <c r="K95" s="55">
        <v>0</v>
      </c>
      <c r="L95" s="38"/>
      <c r="T95" s="1"/>
    </row>
    <row r="96" spans="1:20" ht="16.5" x14ac:dyDescent="0.25">
      <c r="A96" s="340"/>
      <c r="B96" s="40" t="s">
        <v>83</v>
      </c>
      <c r="C96" s="18" t="s">
        <v>55</v>
      </c>
      <c r="D96" s="54">
        <f>'Cost Elements'!C60</f>
        <v>2.4</v>
      </c>
      <c r="E96" s="91">
        <f t="shared" si="35"/>
        <v>2.4</v>
      </c>
      <c r="F96" s="91">
        <f>D96*Upgrades!$G$5</f>
        <v>4.8</v>
      </c>
      <c r="G96" s="91">
        <f>D96*Upgrades!$G$13</f>
        <v>0</v>
      </c>
      <c r="H96" s="91">
        <f>D96*Upgrades!$G$21</f>
        <v>0</v>
      </c>
      <c r="I96" s="91">
        <f>D96*Upgrades!$G$29</f>
        <v>0</v>
      </c>
      <c r="J96" s="91">
        <f>D96*Upgrades!$G$37</f>
        <v>0</v>
      </c>
      <c r="K96" s="55">
        <v>0</v>
      </c>
      <c r="L96" s="38"/>
      <c r="T96" s="1"/>
    </row>
    <row r="97" spans="1:20" ht="16.5" x14ac:dyDescent="0.25">
      <c r="A97" s="340"/>
      <c r="B97" s="40" t="s">
        <v>84</v>
      </c>
      <c r="C97" s="18" t="s">
        <v>56</v>
      </c>
      <c r="D97" s="54">
        <f>'Cost Elements'!C61</f>
        <v>1.41</v>
      </c>
      <c r="E97" s="91">
        <f t="shared" si="35"/>
        <v>1.41</v>
      </c>
      <c r="F97" s="91">
        <f>D97*Upgrades!$G$5</f>
        <v>2.82</v>
      </c>
      <c r="G97" s="91">
        <f>D97*Upgrades!$G$13</f>
        <v>0</v>
      </c>
      <c r="H97" s="91">
        <f>D97*Upgrades!$G$21</f>
        <v>0</v>
      </c>
      <c r="I97" s="91">
        <f>D97*Upgrades!$G$29</f>
        <v>0</v>
      </c>
      <c r="J97" s="91">
        <f>D97*Upgrades!$G$37</f>
        <v>0</v>
      </c>
      <c r="K97" s="55">
        <v>0</v>
      </c>
      <c r="L97" s="38"/>
      <c r="T97" s="1"/>
    </row>
    <row r="98" spans="1:20" ht="16.5" x14ac:dyDescent="0.25">
      <c r="A98" s="340"/>
      <c r="B98" s="40" t="s">
        <v>76</v>
      </c>
      <c r="C98" s="18" t="s">
        <v>57</v>
      </c>
      <c r="D98" s="54">
        <f>'Cost Elements'!C62</f>
        <v>0</v>
      </c>
      <c r="E98" s="91">
        <f t="shared" si="35"/>
        <v>0</v>
      </c>
      <c r="F98" s="91">
        <f>D98*Upgrades!$G$5</f>
        <v>0</v>
      </c>
      <c r="G98" s="91">
        <f>D98*Upgrades!$G$13</f>
        <v>0</v>
      </c>
      <c r="H98" s="91">
        <f>D98*Upgrades!$G$21</f>
        <v>0</v>
      </c>
      <c r="I98" s="91">
        <f>D98*Upgrades!$G$29</f>
        <v>0</v>
      </c>
      <c r="J98" s="91">
        <f>D98*Upgrades!$G$37</f>
        <v>0</v>
      </c>
      <c r="K98" s="55">
        <v>0</v>
      </c>
      <c r="L98" s="38"/>
      <c r="T98" s="1"/>
    </row>
    <row r="99" spans="1:20" x14ac:dyDescent="0.25">
      <c r="A99" s="340"/>
      <c r="B99" s="40"/>
      <c r="C99" s="18" t="s">
        <v>58</v>
      </c>
      <c r="D99" s="54">
        <f>'Cost Elements'!C63</f>
        <v>1.07</v>
      </c>
      <c r="E99" s="91">
        <f t="shared" si="35"/>
        <v>1.07</v>
      </c>
      <c r="F99" s="91">
        <f>D99*Upgrades!$G$5</f>
        <v>2.14</v>
      </c>
      <c r="G99" s="91">
        <f>D99*Upgrades!$G$13</f>
        <v>0</v>
      </c>
      <c r="H99" s="91">
        <f>D99*Upgrades!$G$21</f>
        <v>0</v>
      </c>
      <c r="I99" s="91">
        <f>D99*Upgrades!$G$29</f>
        <v>0</v>
      </c>
      <c r="J99" s="91">
        <f>D99*Upgrades!$G$37</f>
        <v>0</v>
      </c>
      <c r="K99" s="55">
        <v>0</v>
      </c>
      <c r="L99" s="38"/>
      <c r="T99" s="1"/>
    </row>
    <row r="100" spans="1:20" ht="16.5" x14ac:dyDescent="0.25">
      <c r="A100" s="340"/>
      <c r="B100" s="40" t="s">
        <v>85</v>
      </c>
      <c r="C100" s="18" t="s">
        <v>67</v>
      </c>
      <c r="D100" s="54">
        <f>'Cost Elements'!C64</f>
        <v>1.2</v>
      </c>
      <c r="E100" s="91">
        <f t="shared" si="35"/>
        <v>1.2</v>
      </c>
      <c r="F100" s="91">
        <f>D100*Upgrades!$G$5</f>
        <v>2.4</v>
      </c>
      <c r="G100" s="91">
        <f>D100*Upgrades!$G$13</f>
        <v>0</v>
      </c>
      <c r="H100" s="91">
        <f>D100*Upgrades!$G$21</f>
        <v>0</v>
      </c>
      <c r="I100" s="91">
        <f>D100*Upgrades!$G$29</f>
        <v>0</v>
      </c>
      <c r="J100" s="91">
        <f>D100*Upgrades!$G$37</f>
        <v>0</v>
      </c>
      <c r="K100" s="55">
        <v>0</v>
      </c>
      <c r="L100" s="38"/>
      <c r="T100" s="1"/>
    </row>
    <row r="101" spans="1:20" ht="16.5" x14ac:dyDescent="0.25">
      <c r="A101" s="340"/>
      <c r="B101" s="40" t="s">
        <v>73</v>
      </c>
      <c r="C101" s="18" t="s">
        <v>59</v>
      </c>
      <c r="D101" s="54">
        <f>'Cost Elements'!C65</f>
        <v>0.84</v>
      </c>
      <c r="E101" s="91">
        <f t="shared" si="35"/>
        <v>0.84</v>
      </c>
      <c r="F101" s="91">
        <f>D101*Upgrades!$G$5</f>
        <v>1.68</v>
      </c>
      <c r="G101" s="91">
        <f>D101*Upgrades!$G$13</f>
        <v>0</v>
      </c>
      <c r="H101" s="91">
        <f>D101*Upgrades!$G$21</f>
        <v>0</v>
      </c>
      <c r="I101" s="91">
        <f>D101*Upgrades!$G$29</f>
        <v>0</v>
      </c>
      <c r="J101" s="91">
        <f>D101*Upgrades!$G$37</f>
        <v>0</v>
      </c>
      <c r="K101" s="55">
        <v>0</v>
      </c>
      <c r="L101" s="38"/>
      <c r="T101" s="1"/>
    </row>
    <row r="102" spans="1:20" ht="16.5" x14ac:dyDescent="0.25">
      <c r="A102" s="340"/>
      <c r="B102" s="40" t="s">
        <v>83</v>
      </c>
      <c r="C102" s="18" t="s">
        <v>60</v>
      </c>
      <c r="D102" s="54">
        <f>'Cost Elements'!C66</f>
        <v>0</v>
      </c>
      <c r="E102" s="91">
        <f t="shared" si="35"/>
        <v>0</v>
      </c>
      <c r="F102" s="91">
        <f>D102*Upgrades!$G$5</f>
        <v>0</v>
      </c>
      <c r="G102" s="91">
        <f>D102*Upgrades!$G$13</f>
        <v>0</v>
      </c>
      <c r="H102" s="91">
        <f>D102*Upgrades!$G$21</f>
        <v>0</v>
      </c>
      <c r="I102" s="91">
        <f>D102*Upgrades!$G$29</f>
        <v>0</v>
      </c>
      <c r="J102" s="91">
        <f>D102*Upgrades!$G$37</f>
        <v>0</v>
      </c>
      <c r="K102" s="55">
        <v>0</v>
      </c>
      <c r="L102" s="38"/>
      <c r="T102" s="1"/>
    </row>
    <row r="103" spans="1:20" ht="16.5" x14ac:dyDescent="0.25">
      <c r="A103" s="340"/>
      <c r="B103" s="40" t="s">
        <v>84</v>
      </c>
      <c r="C103" s="18" t="s">
        <v>61</v>
      </c>
      <c r="D103" s="54">
        <f>'Cost Elements'!C67</f>
        <v>1.04</v>
      </c>
      <c r="E103" s="91">
        <f t="shared" si="35"/>
        <v>1.04</v>
      </c>
      <c r="F103" s="91">
        <f>D103*Upgrades!$G$5</f>
        <v>2.08</v>
      </c>
      <c r="G103" s="91">
        <f>D103*Upgrades!$G$13</f>
        <v>0</v>
      </c>
      <c r="H103" s="91">
        <f>D103*Upgrades!$G$21</f>
        <v>0</v>
      </c>
      <c r="I103" s="91">
        <f>D103*Upgrades!$G$29</f>
        <v>0</v>
      </c>
      <c r="J103" s="91">
        <f>D103*Upgrades!$G$37</f>
        <v>0</v>
      </c>
      <c r="K103" s="55">
        <v>0</v>
      </c>
      <c r="L103" s="38"/>
      <c r="T103" s="1"/>
    </row>
    <row r="104" spans="1:20" ht="16.5" x14ac:dyDescent="0.25">
      <c r="A104" s="340"/>
      <c r="B104" s="40" t="s">
        <v>86</v>
      </c>
      <c r="C104" s="18" t="s">
        <v>68</v>
      </c>
      <c r="D104" s="54">
        <f>'Cost Elements'!C68</f>
        <v>0</v>
      </c>
      <c r="E104" s="91">
        <f t="shared" si="35"/>
        <v>0</v>
      </c>
      <c r="F104" s="91">
        <f>D104*Upgrades!$G$5</f>
        <v>0</v>
      </c>
      <c r="G104" s="91">
        <f>D104*Upgrades!$G$13</f>
        <v>0</v>
      </c>
      <c r="H104" s="91">
        <f>D104*Upgrades!$G$21</f>
        <v>0</v>
      </c>
      <c r="I104" s="91">
        <f>D104*Upgrades!$G$29</f>
        <v>0</v>
      </c>
      <c r="J104" s="91">
        <f>D104*Upgrades!$G$37</f>
        <v>0</v>
      </c>
      <c r="K104" s="55">
        <v>0</v>
      </c>
      <c r="L104" s="38"/>
      <c r="T104" s="1"/>
    </row>
    <row r="105" spans="1:20" ht="16.5" x14ac:dyDescent="0.25">
      <c r="A105" s="340"/>
      <c r="B105" s="40" t="s">
        <v>73</v>
      </c>
      <c r="C105" s="18" t="s">
        <v>62</v>
      </c>
      <c r="D105" s="54">
        <f>'Cost Elements'!C69</f>
        <v>1.2</v>
      </c>
      <c r="E105" s="91">
        <f t="shared" si="35"/>
        <v>1.2</v>
      </c>
      <c r="F105" s="91">
        <f>D105*Upgrades!$G$5</f>
        <v>2.4</v>
      </c>
      <c r="G105" s="91">
        <f>D105*Upgrades!$G$13</f>
        <v>0</v>
      </c>
      <c r="H105" s="91">
        <f>D105*Upgrades!$G$21</f>
        <v>0</v>
      </c>
      <c r="I105" s="91">
        <f>D105*Upgrades!$G$29</f>
        <v>0</v>
      </c>
      <c r="J105" s="91">
        <f>D105*Upgrades!$G$37</f>
        <v>0</v>
      </c>
      <c r="K105" s="55">
        <v>0</v>
      </c>
      <c r="L105" s="38"/>
      <c r="T105" s="1"/>
    </row>
    <row r="106" spans="1:20" ht="16.5" x14ac:dyDescent="0.25">
      <c r="A106" s="340"/>
      <c r="B106" s="40" t="s">
        <v>87</v>
      </c>
      <c r="C106" s="18" t="s">
        <v>63</v>
      </c>
      <c r="D106" s="54">
        <f>'Cost Elements'!C70</f>
        <v>0</v>
      </c>
      <c r="E106" s="91">
        <f t="shared" si="35"/>
        <v>0</v>
      </c>
      <c r="F106" s="91">
        <f>D106*Upgrades!$G$5</f>
        <v>0</v>
      </c>
      <c r="G106" s="91">
        <f>D106*Upgrades!$G$13</f>
        <v>0</v>
      </c>
      <c r="H106" s="91">
        <f>D106*Upgrades!$G$21</f>
        <v>0</v>
      </c>
      <c r="I106" s="91">
        <f>D106*Upgrades!$G$29</f>
        <v>0</v>
      </c>
      <c r="J106" s="91">
        <f>D106*Upgrades!$G$37</f>
        <v>0</v>
      </c>
      <c r="K106" s="55">
        <v>0</v>
      </c>
      <c r="L106" s="38"/>
      <c r="T106" s="1"/>
    </row>
    <row r="107" spans="1:20" x14ac:dyDescent="0.25">
      <c r="A107" s="340"/>
      <c r="B107" s="15"/>
      <c r="C107" s="18" t="s">
        <v>64</v>
      </c>
      <c r="D107" s="54">
        <f>'Cost Elements'!C71</f>
        <v>0</v>
      </c>
      <c r="E107" s="91">
        <f t="shared" si="35"/>
        <v>0</v>
      </c>
      <c r="F107" s="91">
        <f>D107*Upgrades!$G$5</f>
        <v>0</v>
      </c>
      <c r="G107" s="91">
        <f>D107*Upgrades!$G$13</f>
        <v>0</v>
      </c>
      <c r="H107" s="91">
        <f>D107*Upgrades!$G$21</f>
        <v>0</v>
      </c>
      <c r="I107" s="91">
        <f>D107*Upgrades!$G$29</f>
        <v>0</v>
      </c>
      <c r="J107" s="91">
        <f>D107*Upgrades!$G$37</f>
        <v>0</v>
      </c>
      <c r="K107" s="55">
        <v>0</v>
      </c>
      <c r="L107" s="38"/>
      <c r="T107" s="1"/>
    </row>
    <row r="108" spans="1:20" x14ac:dyDescent="0.25">
      <c r="A108" s="340"/>
      <c r="B108" s="15"/>
      <c r="C108" s="18" t="s">
        <v>65</v>
      </c>
      <c r="D108" s="54">
        <f>'Cost Elements'!C72</f>
        <v>0.62</v>
      </c>
      <c r="E108" s="91">
        <f t="shared" si="35"/>
        <v>0.62</v>
      </c>
      <c r="F108" s="91">
        <f>D108*Upgrades!$G$5</f>
        <v>1.24</v>
      </c>
      <c r="G108" s="91">
        <f>D108*Upgrades!$G$13</f>
        <v>0</v>
      </c>
      <c r="H108" s="91">
        <f>D108*Upgrades!$G$21</f>
        <v>0</v>
      </c>
      <c r="I108" s="91">
        <f>D108*Upgrades!$G$29</f>
        <v>0</v>
      </c>
      <c r="J108" s="91">
        <f>D108*Upgrades!$G$37</f>
        <v>0</v>
      </c>
      <c r="K108" s="55">
        <v>0</v>
      </c>
      <c r="L108" s="38"/>
      <c r="T108" s="1"/>
    </row>
    <row r="109" spans="1:20" x14ac:dyDescent="0.25">
      <c r="A109" s="340"/>
      <c r="B109" s="15"/>
      <c r="C109" s="18" t="s">
        <v>69</v>
      </c>
      <c r="D109" s="54">
        <f>'Cost Elements'!C73</f>
        <v>0</v>
      </c>
      <c r="E109" s="91">
        <f t="shared" si="35"/>
        <v>0</v>
      </c>
      <c r="F109" s="91">
        <f>D109*Upgrades!$G$5</f>
        <v>0</v>
      </c>
      <c r="G109" s="91">
        <f>D109*Upgrades!$G$13</f>
        <v>0</v>
      </c>
      <c r="H109" s="91">
        <f>D109*Upgrades!$G$21</f>
        <v>0</v>
      </c>
      <c r="I109" s="91">
        <f>D109*Upgrades!$G$29</f>
        <v>0</v>
      </c>
      <c r="J109" s="91">
        <f>D109*Upgrades!$G$37</f>
        <v>0</v>
      </c>
      <c r="K109" s="55">
        <v>0</v>
      </c>
      <c r="L109" s="38"/>
      <c r="T109" s="1"/>
    </row>
    <row r="110" spans="1:20" x14ac:dyDescent="0.25">
      <c r="A110" s="340"/>
      <c r="B110" s="15"/>
      <c r="C110" s="18" t="s">
        <v>66</v>
      </c>
      <c r="D110" s="54">
        <f>'Cost Elements'!C74</f>
        <v>0</v>
      </c>
      <c r="E110" s="91">
        <f t="shared" si="35"/>
        <v>0</v>
      </c>
      <c r="F110" s="91">
        <f>D110*Upgrades!$G$5</f>
        <v>0</v>
      </c>
      <c r="G110" s="91">
        <f>D110*Upgrades!$G$13</f>
        <v>0</v>
      </c>
      <c r="H110" s="91">
        <f>D110*Upgrades!$G$21</f>
        <v>0</v>
      </c>
      <c r="I110" s="91">
        <f>D110*Upgrades!$G$29</f>
        <v>0</v>
      </c>
      <c r="J110" s="91">
        <f>D110*Upgrades!$G$37</f>
        <v>0</v>
      </c>
      <c r="K110" s="55">
        <v>0</v>
      </c>
      <c r="L110" s="38"/>
      <c r="T110" s="1"/>
    </row>
    <row r="111" spans="1:20" x14ac:dyDescent="0.25">
      <c r="A111" s="340"/>
      <c r="B111" s="15"/>
      <c r="C111" s="19" t="s">
        <v>134</v>
      </c>
      <c r="D111" s="54">
        <f>'Cost Elements'!C75</f>
        <v>0</v>
      </c>
      <c r="E111" s="91">
        <v>0</v>
      </c>
      <c r="F111" s="91">
        <f>D111*Upgrades!$G$5</f>
        <v>0</v>
      </c>
      <c r="G111" s="91">
        <f>D111*Upgrades!$G$13</f>
        <v>0</v>
      </c>
      <c r="H111" s="91">
        <f>D111*Upgrades!$G$21</f>
        <v>0</v>
      </c>
      <c r="I111" s="91">
        <f>D111*Upgrades!$G$29</f>
        <v>0</v>
      </c>
      <c r="J111" s="91">
        <f>D111*Upgrades!$G$37</f>
        <v>0</v>
      </c>
      <c r="K111" s="55">
        <v>0</v>
      </c>
      <c r="L111" s="38"/>
      <c r="T111" s="1"/>
    </row>
    <row r="112" spans="1:20" ht="13.5" customHeight="1" x14ac:dyDescent="0.25">
      <c r="A112" s="340"/>
      <c r="B112" s="15"/>
      <c r="C112" s="10" t="s">
        <v>186</v>
      </c>
      <c r="D112" s="30"/>
      <c r="E112" s="36"/>
      <c r="F112" s="31"/>
      <c r="G112" s="31"/>
      <c r="H112" s="31"/>
      <c r="I112" s="31"/>
      <c r="J112" s="31"/>
      <c r="K112" s="31"/>
      <c r="L112" s="31"/>
      <c r="M112" s="27" t="s">
        <v>128</v>
      </c>
      <c r="N112" s="27" t="s">
        <v>120</v>
      </c>
      <c r="O112" s="27" t="s">
        <v>121</v>
      </c>
      <c r="P112" s="27" t="s">
        <v>122</v>
      </c>
      <c r="Q112" s="27" t="s">
        <v>125</v>
      </c>
      <c r="R112" s="27" t="s">
        <v>126</v>
      </c>
      <c r="S112" s="27" t="s">
        <v>127</v>
      </c>
      <c r="T112" s="1"/>
    </row>
    <row r="113" spans="1:27" ht="15" customHeight="1" x14ac:dyDescent="0.25">
      <c r="A113" s="340"/>
      <c r="B113" s="16"/>
      <c r="C113" s="3" t="s">
        <v>157</v>
      </c>
      <c r="D113" s="13">
        <f>'Cost Elements'!C78</f>
        <v>1</v>
      </c>
      <c r="E113" s="90">
        <f>D113*'Input Data'!$F$10</f>
        <v>2</v>
      </c>
      <c r="F113" s="90">
        <f>D113*Upgrades!$F$7</f>
        <v>1</v>
      </c>
      <c r="G113" s="90">
        <f>D113*Upgrades!$F$15</f>
        <v>0</v>
      </c>
      <c r="H113" s="90">
        <f>D113*Upgrades!$F$23</f>
        <v>0</v>
      </c>
      <c r="I113" s="90">
        <f>D113*Upgrades!$F$31</f>
        <v>0</v>
      </c>
      <c r="J113" s="90">
        <f>D113*Upgrades!$F$39</f>
        <v>0</v>
      </c>
      <c r="K113" s="55">
        <v>0</v>
      </c>
      <c r="L113" s="4"/>
      <c r="M113" s="91">
        <f>D113*'Input Data'!$G$10</f>
        <v>1</v>
      </c>
      <c r="N113" s="91">
        <f>D113*Upgrades!$G$7</f>
        <v>1</v>
      </c>
      <c r="O113" s="91">
        <f>D113*Upgrades!$G$15</f>
        <v>0</v>
      </c>
      <c r="P113" s="91">
        <f>D113*Upgrades!$G$23</f>
        <v>0</v>
      </c>
      <c r="Q113" s="91">
        <f>D113*Upgrades!$G$31</f>
        <v>0</v>
      </c>
      <c r="R113" s="91">
        <f>D113*Upgrades!$G$39</f>
        <v>0</v>
      </c>
      <c r="T113" s="1"/>
    </row>
    <row r="114" spans="1:27" x14ac:dyDescent="0.25">
      <c r="A114" s="340"/>
      <c r="B114" s="25" t="s">
        <v>72</v>
      </c>
      <c r="C114" s="3" t="s">
        <v>158</v>
      </c>
      <c r="D114" s="13">
        <f>'Cost Elements'!C79</f>
        <v>0.7</v>
      </c>
      <c r="E114" s="90">
        <f>D114*'Input Data'!$F$10</f>
        <v>1.4</v>
      </c>
      <c r="F114" s="90">
        <f>D114*Upgrades!$F$7</f>
        <v>0.7</v>
      </c>
      <c r="G114" s="90">
        <f>D114*Upgrades!$F$15</f>
        <v>0</v>
      </c>
      <c r="H114" s="90">
        <f>D114*Upgrades!$F$23</f>
        <v>0</v>
      </c>
      <c r="I114" s="90">
        <f>D114*Upgrades!$F$31</f>
        <v>0</v>
      </c>
      <c r="J114" s="90">
        <f>D114*Upgrades!$F$39</f>
        <v>0</v>
      </c>
      <c r="K114" s="55">
        <v>0</v>
      </c>
      <c r="L114" s="4"/>
      <c r="M114" s="91">
        <f>D114*'Input Data'!$G$10</f>
        <v>0.7</v>
      </c>
      <c r="N114" s="91">
        <f>D114*Upgrades!$G$7</f>
        <v>0.7</v>
      </c>
      <c r="O114" s="91">
        <f>D114*Upgrades!$G$15</f>
        <v>0</v>
      </c>
      <c r="P114" s="91">
        <f>D114*Upgrades!$G$23</f>
        <v>0</v>
      </c>
      <c r="Q114" s="91">
        <f>D114*Upgrades!$G$31</f>
        <v>0</v>
      </c>
      <c r="R114" s="91">
        <f>D114*Upgrades!$G$39</f>
        <v>0</v>
      </c>
      <c r="T114" s="1"/>
    </row>
    <row r="115" spans="1:27" x14ac:dyDescent="0.25">
      <c r="A115" s="340"/>
      <c r="B115" s="25" t="s">
        <v>73</v>
      </c>
      <c r="C115" s="3" t="s">
        <v>159</v>
      </c>
      <c r="D115" s="13">
        <f>'Cost Elements'!C80</f>
        <v>0.5</v>
      </c>
      <c r="E115" s="90">
        <f>D115*'Input Data'!$F$10</f>
        <v>1</v>
      </c>
      <c r="F115" s="90">
        <f>D115*Upgrades!$F$7</f>
        <v>0.5</v>
      </c>
      <c r="G115" s="90">
        <f>D115*Upgrades!$F$15</f>
        <v>0</v>
      </c>
      <c r="H115" s="90">
        <f>D115*Upgrades!$F$23</f>
        <v>0</v>
      </c>
      <c r="I115" s="90">
        <f>D115*Upgrades!$F$31</f>
        <v>0</v>
      </c>
      <c r="J115" s="90">
        <f>D115*Upgrades!$F$39</f>
        <v>0</v>
      </c>
      <c r="K115" s="55">
        <v>0</v>
      </c>
      <c r="L115" s="4"/>
      <c r="M115" s="91">
        <f>D115*'Input Data'!$G$10</f>
        <v>0.5</v>
      </c>
      <c r="N115" s="91">
        <f>D115*Upgrades!$G$7</f>
        <v>0.5</v>
      </c>
      <c r="O115" s="91">
        <f>D115*Upgrades!$G$15</f>
        <v>0</v>
      </c>
      <c r="P115" s="91">
        <f>D115*Upgrades!$G$23</f>
        <v>0</v>
      </c>
      <c r="Q115" s="91">
        <f>D115*Upgrades!$G$31</f>
        <v>0</v>
      </c>
      <c r="R115" s="91">
        <f>D115*Upgrades!$G$39</f>
        <v>0</v>
      </c>
      <c r="T115" s="1"/>
    </row>
    <row r="116" spans="1:27" x14ac:dyDescent="0.25">
      <c r="A116" s="340"/>
      <c r="B116" s="25" t="s">
        <v>74</v>
      </c>
      <c r="C116" s="3" t="s">
        <v>4</v>
      </c>
      <c r="D116" s="13">
        <f>'Cost Elements'!C81</f>
        <v>0</v>
      </c>
      <c r="E116" s="94">
        <v>0</v>
      </c>
      <c r="F116" s="94">
        <v>0</v>
      </c>
      <c r="G116" s="94">
        <v>0</v>
      </c>
      <c r="H116" s="94">
        <v>0</v>
      </c>
      <c r="I116" s="94">
        <v>0</v>
      </c>
      <c r="J116" s="94">
        <v>0</v>
      </c>
      <c r="K116" s="55">
        <v>0</v>
      </c>
      <c r="L116" s="13"/>
      <c r="M116" s="92">
        <v>0</v>
      </c>
      <c r="N116" s="92">
        <v>0</v>
      </c>
      <c r="O116" s="92">
        <v>0</v>
      </c>
      <c r="P116" s="92">
        <v>0</v>
      </c>
      <c r="Q116" s="92">
        <v>0</v>
      </c>
      <c r="R116" s="92">
        <v>0</v>
      </c>
      <c r="T116" s="1"/>
    </row>
    <row r="117" spans="1:27" ht="13.5" customHeight="1" x14ac:dyDescent="0.25">
      <c r="A117" s="340"/>
      <c r="B117" s="25" t="s">
        <v>75</v>
      </c>
      <c r="C117" s="3" t="s">
        <v>161</v>
      </c>
      <c r="D117" s="13">
        <f>'Cost Elements'!C82</f>
        <v>1</v>
      </c>
      <c r="E117" s="90">
        <f>D117*'Input Data'!$F$10</f>
        <v>2</v>
      </c>
      <c r="F117" s="90">
        <f>D117*Upgrades!$F$7</f>
        <v>1</v>
      </c>
      <c r="G117" s="90">
        <f>D117*Upgrades!$F$15</f>
        <v>0</v>
      </c>
      <c r="H117" s="90">
        <f>D117*Upgrades!$F$23</f>
        <v>0</v>
      </c>
      <c r="I117" s="90">
        <f>D117*Upgrades!$F$31</f>
        <v>0</v>
      </c>
      <c r="J117" s="90">
        <f>D117*Upgrades!$F$39</f>
        <v>0</v>
      </c>
      <c r="K117" s="55">
        <v>0</v>
      </c>
      <c r="L117" s="4"/>
      <c r="M117" s="91">
        <f>D117*'Input Data'!$G$10</f>
        <v>1</v>
      </c>
      <c r="N117" s="91">
        <f>D117*Upgrades!$G$7</f>
        <v>1</v>
      </c>
      <c r="O117" s="91">
        <f>D117*Upgrades!$G$15</f>
        <v>0</v>
      </c>
      <c r="P117" s="91">
        <f>D117*Upgrades!$G$23</f>
        <v>0</v>
      </c>
      <c r="Q117" s="91">
        <f>D117*Upgrades!$G$31</f>
        <v>0</v>
      </c>
      <c r="R117" s="91">
        <f>D117*Upgrades!$G$39</f>
        <v>0</v>
      </c>
      <c r="T117" s="1"/>
    </row>
    <row r="118" spans="1:27" x14ac:dyDescent="0.25">
      <c r="A118" s="340"/>
      <c r="B118" s="25" t="s">
        <v>76</v>
      </c>
      <c r="C118" s="3" t="s">
        <v>162</v>
      </c>
      <c r="D118" s="13">
        <f>'Cost Elements'!C83</f>
        <v>0.9</v>
      </c>
      <c r="E118" s="90">
        <f>D118*'Input Data'!$F$10</f>
        <v>1.8</v>
      </c>
      <c r="F118" s="90">
        <f>D118*Upgrades!$F$7</f>
        <v>0.9</v>
      </c>
      <c r="G118" s="90">
        <f>D118*Upgrades!$F$15</f>
        <v>0</v>
      </c>
      <c r="H118" s="90">
        <f>D118*Upgrades!$F$23</f>
        <v>0</v>
      </c>
      <c r="I118" s="90">
        <f>D118*Upgrades!$F$31</f>
        <v>0</v>
      </c>
      <c r="J118" s="90">
        <f>D118*Upgrades!$F$39</f>
        <v>0</v>
      </c>
      <c r="K118" s="55">
        <v>0</v>
      </c>
      <c r="L118" s="4"/>
      <c r="M118" s="91">
        <f>D118*'Input Data'!$G$10</f>
        <v>0.9</v>
      </c>
      <c r="N118" s="91">
        <f>D118*Upgrades!$G$7</f>
        <v>0.9</v>
      </c>
      <c r="O118" s="91">
        <f>D118*Upgrades!$G$15</f>
        <v>0</v>
      </c>
      <c r="P118" s="91">
        <f>D118*Upgrades!$G$23</f>
        <v>0</v>
      </c>
      <c r="Q118" s="91">
        <f>D118*Upgrades!$G$31</f>
        <v>0</v>
      </c>
      <c r="R118" s="91">
        <f>D118*Upgrades!$G$39</f>
        <v>0</v>
      </c>
      <c r="T118" s="1"/>
    </row>
    <row r="119" spans="1:27" x14ac:dyDescent="0.25">
      <c r="A119" s="340"/>
      <c r="B119" s="24"/>
      <c r="C119" s="3" t="s">
        <v>163</v>
      </c>
      <c r="D119" s="13">
        <f>'Cost Elements'!C84</f>
        <v>0.8</v>
      </c>
      <c r="E119" s="90">
        <f>D119*'Input Data'!$F$10</f>
        <v>1.6</v>
      </c>
      <c r="F119" s="90">
        <f>D119*Upgrades!$F$7</f>
        <v>0.8</v>
      </c>
      <c r="G119" s="90">
        <f>D119*Upgrades!$F$15</f>
        <v>0</v>
      </c>
      <c r="H119" s="90">
        <f>D119*Upgrades!$F$23</f>
        <v>0</v>
      </c>
      <c r="I119" s="90">
        <f>D119*Upgrades!$F$31</f>
        <v>0</v>
      </c>
      <c r="J119" s="90">
        <f>D119*Upgrades!$F$39</f>
        <v>0</v>
      </c>
      <c r="K119" s="55">
        <v>0</v>
      </c>
      <c r="L119" s="4"/>
      <c r="M119" s="91">
        <f>D119*'Input Data'!$G$10</f>
        <v>0.8</v>
      </c>
      <c r="N119" s="91">
        <f>D119*Upgrades!$G$7</f>
        <v>0.8</v>
      </c>
      <c r="O119" s="91">
        <f>D119*Upgrades!$G$15</f>
        <v>0</v>
      </c>
      <c r="P119" s="91">
        <f>D119*Upgrades!$G$23</f>
        <v>0</v>
      </c>
      <c r="Q119" s="91">
        <f>D119*Upgrades!$G$31</f>
        <v>0</v>
      </c>
      <c r="R119" s="91">
        <f>D119*Upgrades!$G$39</f>
        <v>0</v>
      </c>
      <c r="T119" s="1"/>
    </row>
    <row r="120" spans="1:27" x14ac:dyDescent="0.25">
      <c r="A120" s="340"/>
      <c r="B120" s="24"/>
      <c r="C120" s="37" t="s">
        <v>118</v>
      </c>
      <c r="D120" s="30"/>
      <c r="E120" s="36"/>
      <c r="F120" s="36"/>
      <c r="G120" s="36"/>
      <c r="H120" s="36"/>
      <c r="I120" s="36"/>
      <c r="J120" s="36"/>
      <c r="K120" s="36"/>
      <c r="L120" s="36"/>
      <c r="M120" s="56"/>
      <c r="N120" s="33"/>
      <c r="O120" s="33"/>
      <c r="P120" s="9"/>
      <c r="Q120" s="9"/>
      <c r="R120" s="9"/>
      <c r="T120" s="1"/>
    </row>
    <row r="121" spans="1:27" ht="15" customHeight="1" x14ac:dyDescent="0.25">
      <c r="A121" s="340"/>
      <c r="B121" s="393" t="s">
        <v>10</v>
      </c>
      <c r="C121" s="5" t="s">
        <v>2</v>
      </c>
      <c r="D121" s="13">
        <f>'Cost Elements'!C86</f>
        <v>5</v>
      </c>
      <c r="E121" s="90">
        <f>D121</f>
        <v>5</v>
      </c>
      <c r="F121" s="90">
        <f>D121</f>
        <v>5</v>
      </c>
      <c r="G121" s="90">
        <f>D121</f>
        <v>5</v>
      </c>
      <c r="H121" s="90">
        <f>D121</f>
        <v>5</v>
      </c>
      <c r="I121" s="90">
        <f>D121</f>
        <v>5</v>
      </c>
      <c r="J121" s="90">
        <f>D121</f>
        <v>5</v>
      </c>
      <c r="K121" s="55">
        <v>0</v>
      </c>
      <c r="L121" s="6"/>
      <c r="M121" s="91">
        <f>D121</f>
        <v>5</v>
      </c>
      <c r="N121" s="93">
        <f>D121</f>
        <v>5</v>
      </c>
      <c r="O121" s="93">
        <f>D121</f>
        <v>5</v>
      </c>
      <c r="P121" s="93">
        <f>D121</f>
        <v>5</v>
      </c>
      <c r="Q121" s="93">
        <f>D121</f>
        <v>5</v>
      </c>
      <c r="R121" s="93">
        <f>D121</f>
        <v>5</v>
      </c>
    </row>
    <row r="122" spans="1:27" x14ac:dyDescent="0.25">
      <c r="A122" s="340"/>
      <c r="B122" s="393"/>
      <c r="C122" s="5" t="s">
        <v>0</v>
      </c>
      <c r="D122" s="13">
        <f>'Cost Elements'!C87</f>
        <v>0.95</v>
      </c>
      <c r="E122" s="90">
        <f t="shared" ref="E122:E128" si="36">D122</f>
        <v>0.95</v>
      </c>
      <c r="F122" s="90">
        <f t="shared" ref="F122:F128" si="37">D122</f>
        <v>0.95</v>
      </c>
      <c r="G122" s="90">
        <f t="shared" ref="G122:G128" si="38">D122</f>
        <v>0.95</v>
      </c>
      <c r="H122" s="90">
        <f t="shared" ref="H122:H128" si="39">D122</f>
        <v>0.95</v>
      </c>
      <c r="I122" s="90">
        <f t="shared" ref="I122:I128" si="40">D122</f>
        <v>0.95</v>
      </c>
      <c r="J122" s="90">
        <f t="shared" ref="J122:J128" si="41">D122</f>
        <v>0.95</v>
      </c>
      <c r="K122" s="55">
        <v>0</v>
      </c>
      <c r="L122" s="6"/>
      <c r="M122" s="91">
        <f t="shared" ref="M122:M128" si="42">D122</f>
        <v>0.95</v>
      </c>
      <c r="N122" s="93">
        <f t="shared" ref="N122:N128" si="43">D122</f>
        <v>0.95</v>
      </c>
      <c r="O122" s="93">
        <f t="shared" ref="O122:O128" si="44">D122</f>
        <v>0.95</v>
      </c>
      <c r="P122" s="93">
        <f t="shared" ref="P122:P128" si="45">D122</f>
        <v>0.95</v>
      </c>
      <c r="Q122" s="93">
        <f t="shared" ref="Q122:Q128" si="46">D122</f>
        <v>0.95</v>
      </c>
      <c r="R122" s="93">
        <f t="shared" ref="R122:R128" si="47">D122</f>
        <v>0.95</v>
      </c>
    </row>
    <row r="123" spans="1:27" x14ac:dyDescent="0.25">
      <c r="A123" s="340"/>
      <c r="B123" s="393"/>
      <c r="C123" s="5" t="s">
        <v>1</v>
      </c>
      <c r="D123" s="13">
        <f>'Cost Elements'!C88</f>
        <v>0.63</v>
      </c>
      <c r="E123" s="90">
        <f t="shared" si="36"/>
        <v>0.63</v>
      </c>
      <c r="F123" s="90">
        <f t="shared" si="37"/>
        <v>0.63</v>
      </c>
      <c r="G123" s="90">
        <f t="shared" si="38"/>
        <v>0.63</v>
      </c>
      <c r="H123" s="90">
        <f t="shared" si="39"/>
        <v>0.63</v>
      </c>
      <c r="I123" s="90">
        <f t="shared" si="40"/>
        <v>0.63</v>
      </c>
      <c r="J123" s="90">
        <f t="shared" si="41"/>
        <v>0.63</v>
      </c>
      <c r="K123" s="55">
        <v>0</v>
      </c>
      <c r="L123" s="6"/>
      <c r="M123" s="91">
        <f t="shared" si="42"/>
        <v>0.63</v>
      </c>
      <c r="N123" s="93">
        <f t="shared" si="43"/>
        <v>0.63</v>
      </c>
      <c r="O123" s="93">
        <f t="shared" si="44"/>
        <v>0.63</v>
      </c>
      <c r="P123" s="93">
        <f t="shared" si="45"/>
        <v>0.63</v>
      </c>
      <c r="Q123" s="93">
        <f t="shared" si="46"/>
        <v>0.63</v>
      </c>
      <c r="R123" s="93">
        <f t="shared" si="47"/>
        <v>0.63</v>
      </c>
    </row>
    <row r="124" spans="1:27" ht="14.25" customHeight="1" x14ac:dyDescent="0.25">
      <c r="A124" s="340"/>
      <c r="B124" s="393"/>
      <c r="C124" s="5" t="s">
        <v>187</v>
      </c>
      <c r="D124" s="13">
        <f>'Cost Elements'!C89</f>
        <v>0</v>
      </c>
      <c r="E124" s="90">
        <f t="shared" si="36"/>
        <v>0</v>
      </c>
      <c r="F124" s="90">
        <f t="shared" si="37"/>
        <v>0</v>
      </c>
      <c r="G124" s="90">
        <f t="shared" si="38"/>
        <v>0</v>
      </c>
      <c r="H124" s="90">
        <f t="shared" si="39"/>
        <v>0</v>
      </c>
      <c r="I124" s="90">
        <f t="shared" si="40"/>
        <v>0</v>
      </c>
      <c r="J124" s="90">
        <f t="shared" si="41"/>
        <v>0</v>
      </c>
      <c r="K124" s="55">
        <v>0</v>
      </c>
      <c r="L124" s="6"/>
      <c r="M124" s="91">
        <f t="shared" si="42"/>
        <v>0</v>
      </c>
      <c r="N124" s="93">
        <f t="shared" si="43"/>
        <v>0</v>
      </c>
      <c r="O124" s="93">
        <f t="shared" si="44"/>
        <v>0</v>
      </c>
      <c r="P124" s="93">
        <f t="shared" si="45"/>
        <v>0</v>
      </c>
      <c r="Q124" s="93">
        <f t="shared" si="46"/>
        <v>0</v>
      </c>
      <c r="R124" s="93">
        <f t="shared" si="47"/>
        <v>0</v>
      </c>
    </row>
    <row r="125" spans="1:27" ht="15.75" thickBot="1" x14ac:dyDescent="0.3">
      <c r="A125" s="340"/>
      <c r="B125" s="393"/>
      <c r="C125" s="5" t="s">
        <v>188</v>
      </c>
      <c r="D125" s="13">
        <f>'Cost Elements'!C90</f>
        <v>0</v>
      </c>
      <c r="E125" s="90">
        <f t="shared" si="36"/>
        <v>0</v>
      </c>
      <c r="F125" s="90">
        <f t="shared" si="37"/>
        <v>0</v>
      </c>
      <c r="G125" s="90">
        <f t="shared" si="38"/>
        <v>0</v>
      </c>
      <c r="H125" s="90">
        <f t="shared" si="39"/>
        <v>0</v>
      </c>
      <c r="I125" s="90">
        <f t="shared" si="40"/>
        <v>0</v>
      </c>
      <c r="J125" s="90">
        <f t="shared" si="41"/>
        <v>0</v>
      </c>
      <c r="K125" s="55">
        <v>0</v>
      </c>
      <c r="L125" s="6"/>
      <c r="M125" s="91">
        <f t="shared" si="42"/>
        <v>0</v>
      </c>
      <c r="N125" s="93">
        <f t="shared" si="43"/>
        <v>0</v>
      </c>
      <c r="O125" s="93">
        <f t="shared" si="44"/>
        <v>0</v>
      </c>
      <c r="P125" s="93">
        <f t="shared" si="45"/>
        <v>0</v>
      </c>
      <c r="Q125" s="93">
        <f t="shared" si="46"/>
        <v>0</v>
      </c>
      <c r="R125" s="93">
        <f t="shared" si="47"/>
        <v>0</v>
      </c>
    </row>
    <row r="126" spans="1:27" x14ac:dyDescent="0.25">
      <c r="A126" s="340"/>
      <c r="B126" s="393"/>
      <c r="C126" s="5" t="s">
        <v>189</v>
      </c>
      <c r="D126" s="13">
        <f>'Cost Elements'!C91</f>
        <v>0</v>
      </c>
      <c r="E126" s="90">
        <f t="shared" si="36"/>
        <v>0</v>
      </c>
      <c r="F126" s="90">
        <f t="shared" si="37"/>
        <v>0</v>
      </c>
      <c r="G126" s="90">
        <f t="shared" si="38"/>
        <v>0</v>
      </c>
      <c r="H126" s="90">
        <f t="shared" si="39"/>
        <v>0</v>
      </c>
      <c r="I126" s="90">
        <f t="shared" si="40"/>
        <v>0</v>
      </c>
      <c r="J126" s="90">
        <f t="shared" si="41"/>
        <v>0</v>
      </c>
      <c r="K126" s="55">
        <v>0</v>
      </c>
      <c r="L126" s="6"/>
      <c r="M126" s="91">
        <f t="shared" si="42"/>
        <v>0</v>
      </c>
      <c r="N126" s="93">
        <f t="shared" si="43"/>
        <v>0</v>
      </c>
      <c r="O126" s="93">
        <f t="shared" si="44"/>
        <v>0</v>
      </c>
      <c r="P126" s="93">
        <f t="shared" si="45"/>
        <v>0</v>
      </c>
      <c r="Q126" s="93">
        <f t="shared" si="46"/>
        <v>0</v>
      </c>
      <c r="R126" s="93">
        <f t="shared" si="47"/>
        <v>0</v>
      </c>
      <c r="T126" s="224"/>
      <c r="U126" s="225"/>
      <c r="V126" s="225"/>
      <c r="W126" s="223">
        <v>35</v>
      </c>
      <c r="X126" s="225"/>
      <c r="Y126" s="226"/>
      <c r="Z126" s="225"/>
      <c r="AA126" s="227"/>
    </row>
    <row r="127" spans="1:27" x14ac:dyDescent="0.25">
      <c r="A127" s="340"/>
      <c r="B127" s="393"/>
      <c r="C127" s="5" t="s">
        <v>190</v>
      </c>
      <c r="D127" s="13">
        <f>'Cost Elements'!C92</f>
        <v>0</v>
      </c>
      <c r="E127" s="90">
        <f t="shared" si="36"/>
        <v>0</v>
      </c>
      <c r="F127" s="90">
        <f t="shared" si="37"/>
        <v>0</v>
      </c>
      <c r="G127" s="90">
        <f t="shared" si="38"/>
        <v>0</v>
      </c>
      <c r="H127" s="90">
        <f t="shared" si="39"/>
        <v>0</v>
      </c>
      <c r="I127" s="90">
        <f t="shared" si="40"/>
        <v>0</v>
      </c>
      <c r="J127" s="90">
        <f t="shared" si="41"/>
        <v>0</v>
      </c>
      <c r="K127" s="99">
        <v>0</v>
      </c>
      <c r="L127" s="100"/>
      <c r="M127" s="101">
        <f t="shared" si="42"/>
        <v>0</v>
      </c>
      <c r="N127" s="97">
        <f t="shared" si="43"/>
        <v>0</v>
      </c>
      <c r="O127" s="97">
        <f t="shared" si="44"/>
        <v>0</v>
      </c>
      <c r="P127" s="97">
        <f t="shared" si="45"/>
        <v>0</v>
      </c>
      <c r="Q127" s="97">
        <f t="shared" si="46"/>
        <v>0</v>
      </c>
      <c r="R127" s="97">
        <f t="shared" si="47"/>
        <v>0</v>
      </c>
      <c r="T127" s="228" t="s">
        <v>152</v>
      </c>
      <c r="U127" s="229"/>
      <c r="V127" s="229"/>
      <c r="W127" s="229"/>
      <c r="X127" s="229"/>
      <c r="Y127" s="230"/>
      <c r="Z127" s="229"/>
      <c r="AA127" s="231"/>
    </row>
    <row r="128" spans="1:27" x14ac:dyDescent="0.25">
      <c r="A128" s="340"/>
      <c r="B128" s="393"/>
      <c r="C128" s="37" t="s">
        <v>4</v>
      </c>
      <c r="D128" s="30">
        <f>'Cost Elements'!C93</f>
        <v>0</v>
      </c>
      <c r="E128" s="98">
        <f t="shared" si="36"/>
        <v>0</v>
      </c>
      <c r="F128" s="98">
        <f t="shared" si="37"/>
        <v>0</v>
      </c>
      <c r="G128" s="98">
        <f t="shared" si="38"/>
        <v>0</v>
      </c>
      <c r="H128" s="98">
        <f t="shared" si="39"/>
        <v>0</v>
      </c>
      <c r="I128" s="98">
        <f t="shared" si="40"/>
        <v>0</v>
      </c>
      <c r="J128" s="98">
        <f t="shared" si="41"/>
        <v>0</v>
      </c>
      <c r="K128" s="98"/>
      <c r="L128" s="98"/>
      <c r="M128" s="102">
        <f t="shared" si="42"/>
        <v>0</v>
      </c>
      <c r="N128" s="98">
        <f t="shared" si="43"/>
        <v>0</v>
      </c>
      <c r="O128" s="98">
        <f t="shared" si="44"/>
        <v>0</v>
      </c>
      <c r="P128" s="10">
        <f t="shared" si="45"/>
        <v>0</v>
      </c>
      <c r="Q128" s="10">
        <f t="shared" si="46"/>
        <v>0</v>
      </c>
      <c r="R128" s="10">
        <f t="shared" si="47"/>
        <v>0</v>
      </c>
      <c r="T128" s="232">
        <v>0</v>
      </c>
      <c r="U128" s="233">
        <v>1</v>
      </c>
      <c r="V128" s="233"/>
      <c r="W128" s="239">
        <f>U128*W$126</f>
        <v>35</v>
      </c>
      <c r="X128" s="229"/>
      <c r="Y128" s="230"/>
      <c r="Z128" s="229"/>
      <c r="AA128" s="231"/>
    </row>
    <row r="129" spans="1:27" x14ac:dyDescent="0.25">
      <c r="A129" s="340"/>
      <c r="B129" s="391" t="s">
        <v>164</v>
      </c>
      <c r="C129" s="29" t="s">
        <v>165</v>
      </c>
      <c r="D129" s="30"/>
      <c r="E129" s="104"/>
      <c r="F129" s="105"/>
      <c r="G129" s="105"/>
      <c r="H129" s="105"/>
      <c r="I129" s="105"/>
      <c r="J129" s="105"/>
      <c r="K129" s="32"/>
      <c r="L129" s="32"/>
      <c r="M129" s="106"/>
      <c r="N129" s="106"/>
      <c r="O129" s="106"/>
      <c r="P129" s="106"/>
      <c r="Q129" s="106"/>
      <c r="R129" s="106"/>
      <c r="T129" s="232">
        <v>1</v>
      </c>
      <c r="U129" s="233">
        <v>1.3</v>
      </c>
      <c r="V129" s="233"/>
      <c r="W129" s="239">
        <f t="shared" ref="W129:W143" si="48">U129*W$126</f>
        <v>45.5</v>
      </c>
      <c r="X129" s="229"/>
      <c r="Y129" s="230"/>
      <c r="Z129" s="229"/>
      <c r="AA129" s="231"/>
    </row>
    <row r="130" spans="1:27" ht="15" customHeight="1" x14ac:dyDescent="0.25">
      <c r="A130" s="340"/>
      <c r="B130" s="391"/>
      <c r="C130" s="7" t="s">
        <v>5</v>
      </c>
      <c r="D130" s="13">
        <f>'Cost Elements'!C95</f>
        <v>30</v>
      </c>
      <c r="E130" s="90">
        <f>VLOOKUP('Input Data'!F8,T$128:U$143,2,FALSE)*D$130</f>
        <v>45</v>
      </c>
      <c r="F130" s="90">
        <f>VLOOKUP(Upgrades!F5,$T$128:$U$143,2,FALSE)*D130</f>
        <v>45</v>
      </c>
      <c r="G130" s="90">
        <f>VLOOKUP(Upgrades!F13,$T$128:$U$143,2,FALSE)*D130</f>
        <v>30</v>
      </c>
      <c r="H130" s="90">
        <f>VLOOKUP(Upgrades!F21,$T$128:$U$143,2,FALSE)*D130</f>
        <v>30</v>
      </c>
      <c r="I130" s="90">
        <f>VLOOKUP(Upgrades!F29,$T$128:$U$143,2,FALSE)*D130</f>
        <v>30</v>
      </c>
      <c r="J130" s="90">
        <f>VLOOKUP(Upgrades!F37,$T$128:$U$143,2,FALSE)*D130</f>
        <v>30</v>
      </c>
      <c r="K130" s="55">
        <v>0</v>
      </c>
      <c r="L130" s="8"/>
      <c r="M130" s="90">
        <f>VLOOKUP('Input Data'!G$8,$T$128:$U$143,2,FALSE)*$D$130</f>
        <v>63</v>
      </c>
      <c r="N130" s="90">
        <f>VLOOKUP(Upgrades!G$5,$T$128:$U$143,2,FALSE)*D130</f>
        <v>45</v>
      </c>
      <c r="O130" s="90">
        <f>VLOOKUP(Upgrades!G$13,$T$128:$U$143,2,FALSE)*D130</f>
        <v>30</v>
      </c>
      <c r="P130" s="90">
        <f>VLOOKUP(Upgrades!G$21,$T$128:$U$143,2,FALSE)*D130</f>
        <v>30</v>
      </c>
      <c r="Q130" s="90">
        <f>VLOOKUP(Upgrades!G$29,$T$128:$U$143,2,FALSE)*D130</f>
        <v>30</v>
      </c>
      <c r="R130" s="90">
        <f>VLOOKUP(Upgrades!G$37,$T$128:$U$143,2,FALSE)*D130</f>
        <v>30</v>
      </c>
      <c r="T130" s="232">
        <v>2</v>
      </c>
      <c r="U130" s="233">
        <v>1.5</v>
      </c>
      <c r="V130" s="233"/>
      <c r="W130" s="239">
        <f t="shared" si="48"/>
        <v>52.5</v>
      </c>
      <c r="X130" s="229"/>
      <c r="Y130" s="230"/>
      <c r="Z130" s="229"/>
      <c r="AA130" s="231"/>
    </row>
    <row r="131" spans="1:27" x14ac:dyDescent="0.25">
      <c r="A131" s="340"/>
      <c r="B131" s="391"/>
      <c r="C131" s="7" t="s">
        <v>192</v>
      </c>
      <c r="D131" s="13">
        <f>'Cost Elements'!C96</f>
        <v>30</v>
      </c>
      <c r="E131" s="90">
        <f>VLOOKUP('Input Data'!F8,T128:U143,2,FALSE)*D131</f>
        <v>45</v>
      </c>
      <c r="F131" s="90">
        <f>VLOOKUP(Upgrades!F5,$T$128:$U$143,2,FALSE)*D131</f>
        <v>45</v>
      </c>
      <c r="G131" s="90">
        <f>VLOOKUP(Upgrades!F13,$T$128:$U$143,2,FALSE)*D131</f>
        <v>30</v>
      </c>
      <c r="H131" s="90">
        <f>VLOOKUP(Upgrades!F21,$T$128:$U$143,2,FALSE)*D131</f>
        <v>30</v>
      </c>
      <c r="I131" s="90">
        <f>VLOOKUP(Upgrades!F29,$T$128:$U$143,2,FALSE)*D131</f>
        <v>30</v>
      </c>
      <c r="J131" s="90">
        <f>VLOOKUP(Upgrades!F37,$T$128:$U$143,2,FALSE)*D131</f>
        <v>30</v>
      </c>
      <c r="K131" s="55">
        <v>0</v>
      </c>
      <c r="L131" s="8"/>
      <c r="M131" s="90">
        <f>VLOOKUP('Input Data'!G$8,T$128:U$143,2,FALSE)*D131</f>
        <v>63</v>
      </c>
      <c r="N131" s="90">
        <f>VLOOKUP(Upgrades!G$5,$T$128:$U$143,2,FALSE)*D131</f>
        <v>45</v>
      </c>
      <c r="O131" s="90">
        <f>VLOOKUP(Upgrades!G$13,$T$128:$U$143,2,FALSE)*D131</f>
        <v>30</v>
      </c>
      <c r="P131" s="90">
        <f>VLOOKUP(Upgrades!G$21,$T$128:$U$143,2,FALSE)*D131</f>
        <v>30</v>
      </c>
      <c r="Q131" s="90">
        <f>VLOOKUP(Upgrades!G$29,$T$128:$U$143,2,FALSE)*D131</f>
        <v>30</v>
      </c>
      <c r="R131" s="90">
        <f>VLOOKUP(Upgrades!G$37,$T$128:$U$143,2,FALSE)*D131</f>
        <v>30</v>
      </c>
      <c r="T131" s="232">
        <v>3</v>
      </c>
      <c r="U131" s="233">
        <v>1.7</v>
      </c>
      <c r="V131" s="233"/>
      <c r="W131" s="239">
        <f t="shared" si="48"/>
        <v>59.5</v>
      </c>
      <c r="X131" s="229"/>
      <c r="Y131" s="230"/>
      <c r="Z131" s="229"/>
      <c r="AA131" s="231"/>
    </row>
    <row r="132" spans="1:27" x14ac:dyDescent="0.25">
      <c r="A132" s="340"/>
      <c r="B132" s="391"/>
      <c r="C132" s="7" t="s">
        <v>193</v>
      </c>
      <c r="D132" s="13">
        <f>'Cost Elements'!C97</f>
        <v>35</v>
      </c>
      <c r="E132" s="90">
        <f>VLOOKUP('Input Data'!F8,T128:U143,2,FALSE)*D132</f>
        <v>52.5</v>
      </c>
      <c r="F132" s="90">
        <f>VLOOKUP(Upgrades!F5,$T$128:$U$143,2,FALSE)*D132</f>
        <v>52.5</v>
      </c>
      <c r="G132" s="90">
        <f>VLOOKUP(Upgrades!F13,$T$128:$U$143,2,FALSE)*D132</f>
        <v>35</v>
      </c>
      <c r="H132" s="90">
        <f>VLOOKUP(Upgrades!F21,$T$128:$U$143,2,FALSE)*D132</f>
        <v>35</v>
      </c>
      <c r="I132" s="90">
        <f>VLOOKUP(Upgrades!F29,$T$128:$U$143,2,FALSE)*D132</f>
        <v>35</v>
      </c>
      <c r="J132" s="90">
        <f>VLOOKUP(Upgrades!F37,$T$128:$U$143,2,FALSE)*D132</f>
        <v>35</v>
      </c>
      <c r="K132" s="55">
        <v>0</v>
      </c>
      <c r="L132" s="8"/>
      <c r="M132" s="90">
        <f>VLOOKUP('Input Data'!G$8,T$128:U$143,2,FALSE)*D132</f>
        <v>73.5</v>
      </c>
      <c r="N132" s="90">
        <f>VLOOKUP(Upgrades!G$5,$T$128:$U$143,2,FALSE)*D132</f>
        <v>52.5</v>
      </c>
      <c r="O132" s="90">
        <f>VLOOKUP(Upgrades!G$13,$T$128:$U$143,2,FALSE)*D132</f>
        <v>35</v>
      </c>
      <c r="P132" s="90">
        <f>VLOOKUP(Upgrades!G$21,$T$128:$U$143,2,FALSE)*D132</f>
        <v>35</v>
      </c>
      <c r="Q132" s="90">
        <f>VLOOKUP(Upgrades!G$29,$T$128:$U$143,2,FALSE)*D132</f>
        <v>35</v>
      </c>
      <c r="R132" s="90">
        <f>VLOOKUP(Upgrades!G$37,$T$128:$U$143,2,FALSE)*D132</f>
        <v>35</v>
      </c>
      <c r="T132" s="232">
        <v>4</v>
      </c>
      <c r="U132" s="233">
        <v>1.9</v>
      </c>
      <c r="V132" s="233"/>
      <c r="W132" s="239">
        <f t="shared" si="48"/>
        <v>66.5</v>
      </c>
      <c r="X132" s="229"/>
      <c r="Y132" s="230"/>
      <c r="Z132" s="229"/>
      <c r="AA132" s="231"/>
    </row>
    <row r="133" spans="1:27" x14ac:dyDescent="0.25">
      <c r="A133" s="340"/>
      <c r="B133" s="391"/>
      <c r="C133" s="7" t="s">
        <v>7</v>
      </c>
      <c r="D133" s="13">
        <f>'Cost Elements'!C98</f>
        <v>5</v>
      </c>
      <c r="E133" s="90">
        <f>VLOOKUP('Input Data'!F8,T128:U143,2,FALSE)*D133</f>
        <v>7.5</v>
      </c>
      <c r="F133" s="90">
        <f>VLOOKUP(Upgrades!F5,$T$128:$U$143,2,FALSE)*D133</f>
        <v>7.5</v>
      </c>
      <c r="G133" s="90">
        <f>VLOOKUP(Upgrades!F13,$T$128:$U$143,2,FALSE)*D133</f>
        <v>5</v>
      </c>
      <c r="H133" s="90">
        <f>VLOOKUP(Upgrades!F21,$T$128:$U$143,2,FALSE)*D133</f>
        <v>5</v>
      </c>
      <c r="I133" s="90">
        <f>VLOOKUP(Upgrades!F29,$T$128:$U$143,2,FALSE)*D133</f>
        <v>5</v>
      </c>
      <c r="J133" s="90">
        <f>VLOOKUP(Upgrades!F37,$T$128:$U$143,2,FALSE)*D133</f>
        <v>5</v>
      </c>
      <c r="K133" s="55">
        <v>0</v>
      </c>
      <c r="L133" s="8"/>
      <c r="M133" s="90">
        <f>VLOOKUP('Input Data'!G$8,T$128:U$143,2,FALSE)*D133</f>
        <v>10.5</v>
      </c>
      <c r="N133" s="90">
        <f>VLOOKUP(Upgrades!G$5,$T$128:$U$143,2,FALSE)*D133</f>
        <v>7.5</v>
      </c>
      <c r="O133" s="90">
        <f>VLOOKUP(Upgrades!G$13,$T$128:$U$143,2,FALSE)*D133</f>
        <v>5</v>
      </c>
      <c r="P133" s="90">
        <f>VLOOKUP(Upgrades!G$21,$T$128:$U$143,2,FALSE)*D133</f>
        <v>5</v>
      </c>
      <c r="Q133" s="90">
        <f>VLOOKUP(Upgrades!G$29,$T$128:$U$143,2,FALSE)*D133</f>
        <v>5</v>
      </c>
      <c r="R133" s="90">
        <f>VLOOKUP(Upgrades!G$37,$T$128:$U$143,2,FALSE)*D133</f>
        <v>5</v>
      </c>
      <c r="T133" s="232">
        <v>5</v>
      </c>
      <c r="U133" s="233">
        <v>2.1</v>
      </c>
      <c r="V133" s="233"/>
      <c r="W133" s="239">
        <f t="shared" si="48"/>
        <v>73.5</v>
      </c>
      <c r="X133" s="229"/>
      <c r="Y133" s="230"/>
      <c r="Z133" s="229"/>
      <c r="AA133" s="231"/>
    </row>
    <row r="134" spans="1:27" x14ac:dyDescent="0.25">
      <c r="A134" s="340"/>
      <c r="B134" s="391"/>
      <c r="C134" s="7" t="s">
        <v>8</v>
      </c>
      <c r="D134" s="13">
        <f>'Cost Elements'!C99</f>
        <v>9</v>
      </c>
      <c r="E134" s="90">
        <f>VLOOKUP('Input Data'!F8,T128:U143,2,FALSE)*D134</f>
        <v>13.5</v>
      </c>
      <c r="F134" s="90">
        <f>VLOOKUP(Upgrades!F5,$T$128:$U$143,2,FALSE)*D134</f>
        <v>13.5</v>
      </c>
      <c r="G134" s="90">
        <f>VLOOKUP(Upgrades!F13,$T$128:$U$143,2,FALSE)*D134</f>
        <v>9</v>
      </c>
      <c r="H134" s="90">
        <f>VLOOKUP(Upgrades!F21,$T$128:$U$143,2,FALSE)*D134</f>
        <v>9</v>
      </c>
      <c r="I134" s="90">
        <f>VLOOKUP(Upgrades!F29,$T$128:$U$143,2,FALSE)*D134</f>
        <v>9</v>
      </c>
      <c r="J134" s="90">
        <f>VLOOKUP(Upgrades!F37,$T$128:$U$143,2,FALSE)*D134</f>
        <v>9</v>
      </c>
      <c r="K134" s="55">
        <v>0</v>
      </c>
      <c r="L134" s="8"/>
      <c r="M134" s="90">
        <f>VLOOKUP('Input Data'!G$8,T$128:U$143,2,FALSE)*D134</f>
        <v>18.900000000000002</v>
      </c>
      <c r="N134" s="90">
        <f>VLOOKUP(Upgrades!G$5,$T$128:$U$143,2,FALSE)*D134</f>
        <v>13.5</v>
      </c>
      <c r="O134" s="90">
        <f>VLOOKUP(Upgrades!G$13,$T$128:$U$143,2,FALSE)*D134</f>
        <v>9</v>
      </c>
      <c r="P134" s="90">
        <f>VLOOKUP(Upgrades!G$21,$T$128:$U$143,2,FALSE)*D134</f>
        <v>9</v>
      </c>
      <c r="Q134" s="90">
        <f>VLOOKUP(Upgrades!G$29,$T$128:$U$143,2,FALSE)*D134</f>
        <v>9</v>
      </c>
      <c r="R134" s="90">
        <f>VLOOKUP(Upgrades!G$37,$T$128:$U$143,2,FALSE)*D134</f>
        <v>9</v>
      </c>
      <c r="T134" s="232">
        <v>6</v>
      </c>
      <c r="U134" s="233">
        <v>2.2999999999999998</v>
      </c>
      <c r="V134" s="233"/>
      <c r="W134" s="239">
        <f t="shared" si="48"/>
        <v>80.5</v>
      </c>
      <c r="X134" s="229"/>
      <c r="Y134" s="230"/>
      <c r="Z134" s="229"/>
      <c r="AA134" s="231"/>
    </row>
    <row r="135" spans="1:27" x14ac:dyDescent="0.25">
      <c r="A135" s="340"/>
      <c r="B135" s="391"/>
      <c r="C135" s="7" t="s">
        <v>9</v>
      </c>
      <c r="D135" s="13">
        <f>'Cost Elements'!C100</f>
        <v>6.5</v>
      </c>
      <c r="E135" s="90">
        <f>VLOOKUP('Input Data'!F8,T128:U143,2,FALSE)*D135</f>
        <v>9.75</v>
      </c>
      <c r="F135" s="90">
        <f>VLOOKUP(Upgrades!F5,$T$128:$U$143,2,FALSE)*D135</f>
        <v>9.75</v>
      </c>
      <c r="G135" s="90">
        <f>VLOOKUP(Upgrades!F13,$T$128:$U$143,2,FALSE)*D135</f>
        <v>6.5</v>
      </c>
      <c r="H135" s="90">
        <f>VLOOKUP(Upgrades!F21,$T$128:$U$143,2,FALSE)*D135</f>
        <v>6.5</v>
      </c>
      <c r="I135" s="90">
        <f>VLOOKUP(Upgrades!F29,$T$128:$U$143,2,FALSE)*D135</f>
        <v>6.5</v>
      </c>
      <c r="J135" s="90">
        <f>VLOOKUP(Upgrades!F37,$T$128:$U$143,2,FALSE)*D135</f>
        <v>6.5</v>
      </c>
      <c r="K135" s="55">
        <v>0</v>
      </c>
      <c r="L135" s="8"/>
      <c r="M135" s="90">
        <f>VLOOKUP('Input Data'!G$8,T$128:U$143,2,FALSE)*D135</f>
        <v>13.65</v>
      </c>
      <c r="N135" s="90">
        <f>VLOOKUP(Upgrades!G$5,$T$128:$U$143,2,FALSE)*D135</f>
        <v>9.75</v>
      </c>
      <c r="O135" s="90">
        <f>VLOOKUP(Upgrades!G$13,$T$128:$U$143,2,FALSE)*D135</f>
        <v>6.5</v>
      </c>
      <c r="P135" s="90">
        <f>VLOOKUP(Upgrades!G$21,$T$128:$U$143,2,FALSE)*D135</f>
        <v>6.5</v>
      </c>
      <c r="Q135" s="90">
        <f>VLOOKUP(Upgrades!G$29,$T$128:$U$143,2,FALSE)*D135</f>
        <v>6.5</v>
      </c>
      <c r="R135" s="90">
        <f>VLOOKUP(Upgrades!G$37,$T$128:$U$143,2,FALSE)*D135</f>
        <v>6.5</v>
      </c>
      <c r="T135" s="232">
        <v>7</v>
      </c>
      <c r="U135" s="233">
        <v>2.5</v>
      </c>
      <c r="V135" s="233"/>
      <c r="W135" s="239">
        <f t="shared" si="48"/>
        <v>87.5</v>
      </c>
      <c r="X135" s="229"/>
      <c r="Y135" s="230"/>
      <c r="Z135" s="229"/>
      <c r="AA135" s="231"/>
    </row>
    <row r="136" spans="1:27" x14ac:dyDescent="0.25">
      <c r="A136" s="340"/>
      <c r="B136" s="391"/>
      <c r="C136" s="7" t="s">
        <v>6</v>
      </c>
      <c r="D136" s="13">
        <f>'Cost Elements'!C101</f>
        <v>4.5</v>
      </c>
      <c r="E136" s="90">
        <f>VLOOKUP('Input Data'!F8,T128:U143,2,FALSE)*D136</f>
        <v>6.75</v>
      </c>
      <c r="F136" s="90">
        <f>VLOOKUP(Upgrades!F5,$T$128:$U$143,2,FALSE)*D136</f>
        <v>6.75</v>
      </c>
      <c r="G136" s="90">
        <f>VLOOKUP(Upgrades!F13,$T$128:$U$143,2,FALSE)*D136</f>
        <v>4.5</v>
      </c>
      <c r="H136" s="90">
        <f>VLOOKUP(Upgrades!F21,$T$128:$U$143,2,FALSE)*D136</f>
        <v>4.5</v>
      </c>
      <c r="I136" s="90">
        <f>VLOOKUP(Upgrades!F29,$T$128:$U$143,2,FALSE)*D136</f>
        <v>4.5</v>
      </c>
      <c r="J136" s="90">
        <f>VLOOKUP(Upgrades!F37,$T$128:$U$143,2,FALSE)*D136</f>
        <v>4.5</v>
      </c>
      <c r="K136" s="55">
        <v>0</v>
      </c>
      <c r="L136" s="8"/>
      <c r="M136" s="90">
        <f>VLOOKUP('Input Data'!G$8,T$128:U$143,2,FALSE)*D136</f>
        <v>9.4500000000000011</v>
      </c>
      <c r="N136" s="90">
        <f>VLOOKUP(Upgrades!G$5,$T$128:$U$143,2,FALSE)*D136</f>
        <v>6.75</v>
      </c>
      <c r="O136" s="90">
        <f>VLOOKUP(Upgrades!G$13,$T$128:$U$143,2,FALSE)*D136</f>
        <v>4.5</v>
      </c>
      <c r="P136" s="90">
        <f>VLOOKUP(Upgrades!G$21,$T$128:$U$143,2,FALSE)*D136</f>
        <v>4.5</v>
      </c>
      <c r="Q136" s="90">
        <f>VLOOKUP(Upgrades!G$29,$T$128:$U$143,2,FALSE)*D136</f>
        <v>4.5</v>
      </c>
      <c r="R136" s="90">
        <f>VLOOKUP(Upgrades!G$37,$T$128:$U$143,2,FALSE)*D136</f>
        <v>4.5</v>
      </c>
      <c r="T136" s="232">
        <v>8</v>
      </c>
      <c r="U136" s="233">
        <v>2.7</v>
      </c>
      <c r="V136" s="233"/>
      <c r="W136" s="239">
        <f t="shared" si="48"/>
        <v>94.5</v>
      </c>
      <c r="X136" s="229"/>
      <c r="Y136" s="230"/>
      <c r="Z136" s="229"/>
      <c r="AA136" s="231"/>
    </row>
    <row r="137" spans="1:27" x14ac:dyDescent="0.25">
      <c r="A137" s="340"/>
      <c r="B137" s="391"/>
      <c r="C137" s="7" t="s">
        <v>187</v>
      </c>
      <c r="D137" s="13">
        <f>'Cost Elements'!C102</f>
        <v>0</v>
      </c>
      <c r="E137" s="90">
        <f>VLOOKUP('Input Data'!F8,T128:U143,2,FALSE)*D137</f>
        <v>0</v>
      </c>
      <c r="F137" s="90">
        <f>VLOOKUP(Upgrades!F5,$T$128:$U$143,2,FALSE)*D137</f>
        <v>0</v>
      </c>
      <c r="G137" s="90">
        <f>VLOOKUP(Upgrades!F13,$T$128:$U$143,2,FALSE)*D137</f>
        <v>0</v>
      </c>
      <c r="H137" s="90">
        <f>VLOOKUP(Upgrades!F21,$T$128:$U$143,2,FALSE)*D137</f>
        <v>0</v>
      </c>
      <c r="I137" s="90">
        <f>VLOOKUP(Upgrades!F29,$T$128:$U$143,2,FALSE)*D137</f>
        <v>0</v>
      </c>
      <c r="J137" s="90">
        <f>VLOOKUP(Upgrades!F37,$T$128:$U$143,2,FALSE)*D137</f>
        <v>0</v>
      </c>
      <c r="K137" s="55">
        <v>0</v>
      </c>
      <c r="L137" s="8"/>
      <c r="M137" s="90">
        <f>VLOOKUP('Input Data'!G$8,T$128:U$143,2,FALSE)*D137</f>
        <v>0</v>
      </c>
      <c r="N137" s="90">
        <f>VLOOKUP(Upgrades!G$5,$T$128:$U$143,2,FALSE)*D137</f>
        <v>0</v>
      </c>
      <c r="O137" s="90">
        <f>VLOOKUP(Upgrades!G$13,$T$128:$U$143,2,FALSE)*D137</f>
        <v>0</v>
      </c>
      <c r="P137" s="90">
        <f>VLOOKUP(Upgrades!G$21,$T$128:$U$143,2,FALSE)*D137</f>
        <v>0</v>
      </c>
      <c r="Q137" s="90">
        <f>VLOOKUP(Upgrades!G$29,$T$128:$U$143,2,FALSE)*D137</f>
        <v>0</v>
      </c>
      <c r="R137" s="90">
        <f>VLOOKUP(Upgrades!G$37,$T$128:$U$143,2,FALSE)*D137</f>
        <v>0</v>
      </c>
      <c r="T137" s="232">
        <v>9</v>
      </c>
      <c r="U137" s="233">
        <v>2.95</v>
      </c>
      <c r="V137" s="233"/>
      <c r="W137" s="239">
        <f t="shared" si="48"/>
        <v>103.25</v>
      </c>
      <c r="X137" s="229"/>
      <c r="Y137" s="230"/>
      <c r="Z137" s="229"/>
      <c r="AA137" s="231"/>
    </row>
    <row r="138" spans="1:27" x14ac:dyDescent="0.25">
      <c r="A138" s="340"/>
      <c r="B138" s="391"/>
      <c r="C138" s="7" t="s">
        <v>188</v>
      </c>
      <c r="D138" s="13">
        <f>'Cost Elements'!C103</f>
        <v>0</v>
      </c>
      <c r="E138" s="90">
        <f>VLOOKUP('Input Data'!F8,T128:U143,2,FALSE)*D138</f>
        <v>0</v>
      </c>
      <c r="F138" s="90">
        <f>VLOOKUP(Upgrades!F5,$T$128:$U$143,2,FALSE)*D138</f>
        <v>0</v>
      </c>
      <c r="G138" s="90">
        <f>VLOOKUP(Upgrades!F13,$T$128:$U$143,2,FALSE)*D138</f>
        <v>0</v>
      </c>
      <c r="H138" s="90">
        <f>VLOOKUP(Upgrades!F21,$T$128:$U$143,2,FALSE)*D138</f>
        <v>0</v>
      </c>
      <c r="I138" s="90">
        <f>VLOOKUP(Upgrades!F29,$T$128:$U$143,2,FALSE)*D138</f>
        <v>0</v>
      </c>
      <c r="J138" s="90">
        <f>VLOOKUP(Upgrades!F37,$T$128:$U$143,2,FALSE)*D138</f>
        <v>0</v>
      </c>
      <c r="K138" s="55">
        <v>0</v>
      </c>
      <c r="L138" s="8"/>
      <c r="M138" s="90">
        <f>VLOOKUP('Input Data'!G$8,T$128:U$143,2,FALSE)*D138</f>
        <v>0</v>
      </c>
      <c r="N138" s="90">
        <f>VLOOKUP(Upgrades!G$5,$T$128:$U$143,2,FALSE)*D138</f>
        <v>0</v>
      </c>
      <c r="O138" s="90">
        <f>VLOOKUP(Upgrades!G$13,$T$128:$U$143,2,FALSE)*D138</f>
        <v>0</v>
      </c>
      <c r="P138" s="90">
        <f>VLOOKUP(Upgrades!G$21,$T$128:$U$143,2,FALSE)*D138</f>
        <v>0</v>
      </c>
      <c r="Q138" s="90">
        <f>VLOOKUP(Upgrades!G$29,$T$128:$U$143,2,FALSE)*D138</f>
        <v>0</v>
      </c>
      <c r="R138" s="90">
        <f>VLOOKUP(Upgrades!G$37,$T$128:$U$143,2,FALSE)*D138</f>
        <v>0</v>
      </c>
      <c r="T138" s="232">
        <v>10</v>
      </c>
      <c r="U138" s="233">
        <v>3.2</v>
      </c>
      <c r="V138" s="233"/>
      <c r="W138" s="239">
        <f t="shared" si="48"/>
        <v>112</v>
      </c>
      <c r="X138" s="229"/>
      <c r="Y138" s="230"/>
      <c r="Z138" s="229"/>
      <c r="AA138" s="231"/>
    </row>
    <row r="139" spans="1:27" x14ac:dyDescent="0.25">
      <c r="A139" s="340"/>
      <c r="B139" s="17"/>
      <c r="C139" s="34" t="s">
        <v>134</v>
      </c>
      <c r="D139" s="13">
        <f>'Cost Elements'!C104</f>
        <v>0</v>
      </c>
      <c r="E139" s="31">
        <v>0</v>
      </c>
      <c r="F139" s="31">
        <v>0</v>
      </c>
      <c r="G139" s="31">
        <v>0</v>
      </c>
      <c r="H139" s="31">
        <v>0</v>
      </c>
      <c r="I139" s="31">
        <v>0</v>
      </c>
      <c r="J139" s="31">
        <v>0</v>
      </c>
      <c r="K139" s="35"/>
      <c r="L139" s="35"/>
      <c r="M139" s="33">
        <v>0</v>
      </c>
      <c r="N139" s="33">
        <v>0</v>
      </c>
      <c r="O139" s="33">
        <v>0</v>
      </c>
      <c r="P139" s="33">
        <v>0</v>
      </c>
      <c r="Q139" s="33">
        <v>0</v>
      </c>
      <c r="R139" s="33">
        <v>0</v>
      </c>
      <c r="T139" s="232">
        <v>11</v>
      </c>
      <c r="U139" s="233">
        <v>3.45</v>
      </c>
      <c r="V139" s="233"/>
      <c r="W139" s="239">
        <f t="shared" si="48"/>
        <v>120.75</v>
      </c>
      <c r="X139" s="229"/>
      <c r="Y139" s="230"/>
      <c r="Z139" s="229"/>
      <c r="AA139" s="231"/>
    </row>
    <row r="140" spans="1:27" ht="15" customHeight="1" x14ac:dyDescent="0.25">
      <c r="A140" s="340"/>
      <c r="B140" s="392" t="s">
        <v>155</v>
      </c>
      <c r="C140" t="s">
        <v>167</v>
      </c>
      <c r="D140" s="13">
        <f>'Cost Elements'!C105</f>
        <v>20</v>
      </c>
      <c r="E140" s="90">
        <f>D140*'Input Data'!F10</f>
        <v>40</v>
      </c>
      <c r="F140" s="90">
        <f>D140*Upgrades!F7</f>
        <v>20</v>
      </c>
      <c r="G140" s="90">
        <f>D140*Upgrades!F15</f>
        <v>0</v>
      </c>
      <c r="H140" s="90">
        <f>D140*Upgrades!F23</f>
        <v>0</v>
      </c>
      <c r="I140" s="90">
        <f>D140*Upgrades!F31</f>
        <v>0</v>
      </c>
      <c r="J140" s="90">
        <f>D140*Upgrades!F39</f>
        <v>0</v>
      </c>
      <c r="K140" s="55">
        <v>0</v>
      </c>
      <c r="L140" s="1"/>
      <c r="S140" s="96"/>
      <c r="T140" s="232">
        <v>12</v>
      </c>
      <c r="U140" s="233">
        <v>3.75</v>
      </c>
      <c r="V140" s="233"/>
      <c r="W140" s="239">
        <f t="shared" si="48"/>
        <v>131.25</v>
      </c>
      <c r="X140" s="229"/>
      <c r="Y140" s="230"/>
      <c r="Z140" s="229"/>
      <c r="AA140" s="231"/>
    </row>
    <row r="141" spans="1:27" x14ac:dyDescent="0.25">
      <c r="A141" s="340"/>
      <c r="B141" s="392"/>
      <c r="C141" t="s">
        <v>169</v>
      </c>
      <c r="D141" s="13">
        <f>'Cost Elements'!C106</f>
        <v>1.3</v>
      </c>
      <c r="E141" s="90">
        <f>D141*'Input Data'!F10</f>
        <v>2.6</v>
      </c>
      <c r="F141" s="90">
        <f>D141*Upgrades!F7</f>
        <v>1.3</v>
      </c>
      <c r="G141" s="90">
        <f>D141*Upgrades!F15</f>
        <v>0</v>
      </c>
      <c r="H141" s="90">
        <f>D141*Upgrades!F23</f>
        <v>0</v>
      </c>
      <c r="I141" s="90">
        <f>D141*Upgrades!F31</f>
        <v>0</v>
      </c>
      <c r="J141" s="90">
        <f>D141*Upgrades!F39</f>
        <v>0</v>
      </c>
      <c r="K141" s="55">
        <v>0</v>
      </c>
      <c r="L141" s="1"/>
      <c r="S141" s="96"/>
      <c r="T141" s="232">
        <v>13</v>
      </c>
      <c r="U141" s="233">
        <v>4.05</v>
      </c>
      <c r="V141" s="233"/>
      <c r="W141" s="239">
        <f t="shared" si="48"/>
        <v>141.75</v>
      </c>
      <c r="X141" s="229"/>
      <c r="Y141" s="230"/>
      <c r="Z141" s="229"/>
      <c r="AA141" s="231"/>
    </row>
    <row r="142" spans="1:27" x14ac:dyDescent="0.25">
      <c r="A142" s="340"/>
      <c r="B142" s="392"/>
      <c r="C142" t="s">
        <v>170</v>
      </c>
      <c r="D142" s="13">
        <f>'Cost Elements'!C107</f>
        <v>2.5</v>
      </c>
      <c r="E142" s="90">
        <f>D142*'Input Data'!F10</f>
        <v>5</v>
      </c>
      <c r="F142" s="90">
        <f>D142*Upgrades!F7</f>
        <v>2.5</v>
      </c>
      <c r="G142" s="90">
        <f>D142*Upgrades!F15</f>
        <v>0</v>
      </c>
      <c r="H142" s="90">
        <f>D142*Upgrades!F23</f>
        <v>0</v>
      </c>
      <c r="I142" s="90">
        <f>D142*Upgrades!F31</f>
        <v>0</v>
      </c>
      <c r="J142" s="90">
        <f>D142*Upgrades!F39</f>
        <v>0</v>
      </c>
      <c r="K142" s="55">
        <v>0</v>
      </c>
      <c r="L142" s="1"/>
      <c r="S142" s="96"/>
      <c r="T142" s="232">
        <v>14</v>
      </c>
      <c r="U142" s="233">
        <v>4.3499999999999996</v>
      </c>
      <c r="V142" s="233"/>
      <c r="W142" s="239">
        <f t="shared" si="48"/>
        <v>152.25</v>
      </c>
      <c r="X142" s="229"/>
      <c r="Y142" s="230"/>
      <c r="Z142" s="229"/>
      <c r="AA142" s="231"/>
    </row>
    <row r="143" spans="1:27" ht="15.75" thickBot="1" x14ac:dyDescent="0.3">
      <c r="A143" s="340"/>
      <c r="B143" s="392"/>
      <c r="C143" t="s">
        <v>166</v>
      </c>
      <c r="D143" s="13">
        <f>'Cost Elements'!C108</f>
        <v>2.2999999999999998</v>
      </c>
      <c r="E143" s="97">
        <f>D143*'Input Data'!G10</f>
        <v>2.2999999999999998</v>
      </c>
      <c r="F143" s="97">
        <f>D143*Upgrades!G7</f>
        <v>2.2999999999999998</v>
      </c>
      <c r="G143" s="97">
        <f>D143*Upgrades!G15</f>
        <v>0</v>
      </c>
      <c r="H143" s="97">
        <f>D143*Upgrades!G23</f>
        <v>0</v>
      </c>
      <c r="I143" s="97">
        <f>D143*Upgrades!G31</f>
        <v>0</v>
      </c>
      <c r="J143" s="97">
        <f>D143*Upgrades!G39</f>
        <v>0</v>
      </c>
      <c r="K143" s="55">
        <v>0</v>
      </c>
      <c r="L143" s="1"/>
      <c r="M143" s="96"/>
      <c r="N143" s="96"/>
      <c r="O143" s="96"/>
      <c r="P143" s="96"/>
      <c r="Q143" s="96"/>
      <c r="R143" s="96"/>
      <c r="S143" s="96"/>
      <c r="T143" s="234">
        <v>15</v>
      </c>
      <c r="U143" s="235">
        <v>4.6500000000000004</v>
      </c>
      <c r="V143" s="235"/>
      <c r="W143" s="240">
        <f t="shared" si="48"/>
        <v>162.75</v>
      </c>
      <c r="X143" s="236"/>
      <c r="Y143" s="237"/>
      <c r="Z143" s="236"/>
      <c r="AA143" s="238"/>
    </row>
    <row r="144" spans="1:27" x14ac:dyDescent="0.25">
      <c r="A144" s="340"/>
      <c r="B144" s="392"/>
      <c r="C144" t="s">
        <v>168</v>
      </c>
      <c r="D144" s="13">
        <f>'Cost Elements'!C109</f>
        <v>1.4</v>
      </c>
      <c r="E144" s="97">
        <f>D144*'Input Data'!G10</f>
        <v>1.4</v>
      </c>
      <c r="F144" s="97">
        <f>D144*Upgrades!G7</f>
        <v>1.4</v>
      </c>
      <c r="G144" s="97">
        <f>D144*Upgrades!G15</f>
        <v>0</v>
      </c>
      <c r="H144" s="97">
        <f>D144*Upgrades!G23</f>
        <v>0</v>
      </c>
      <c r="I144" s="97">
        <f>D144*Upgrades!G31</f>
        <v>0</v>
      </c>
      <c r="J144" s="97">
        <f>D144*Upgrades!G39</f>
        <v>0</v>
      </c>
      <c r="K144" s="55">
        <v>0</v>
      </c>
      <c r="L144" s="1"/>
      <c r="M144" s="95"/>
      <c r="N144" s="95"/>
      <c r="O144" s="95"/>
      <c r="P144" s="95"/>
      <c r="Q144" s="95"/>
      <c r="R144" s="95"/>
      <c r="S144" s="95"/>
      <c r="T144" s="1"/>
    </row>
    <row r="145" spans="1:20" x14ac:dyDescent="0.25">
      <c r="A145" s="340"/>
      <c r="B145" s="392"/>
      <c r="C145" t="s">
        <v>171</v>
      </c>
      <c r="D145" s="13">
        <f>'Cost Elements'!C110</f>
        <v>1.5</v>
      </c>
      <c r="E145" s="97">
        <f>D145*'Input Data'!G10</f>
        <v>1.5</v>
      </c>
      <c r="F145" s="97">
        <f>D145*Upgrades!G7</f>
        <v>1.5</v>
      </c>
      <c r="G145" s="97">
        <f>D145*Upgrades!G15</f>
        <v>0</v>
      </c>
      <c r="H145" s="97">
        <f>D145*Upgrades!G23</f>
        <v>0</v>
      </c>
      <c r="I145" s="97">
        <f>D145*Upgrades!G31</f>
        <v>0</v>
      </c>
      <c r="J145" s="97">
        <f>D145*Upgrades!G39</f>
        <v>0</v>
      </c>
      <c r="K145" s="55">
        <v>0</v>
      </c>
      <c r="L145" s="1"/>
      <c r="M145" s="95"/>
      <c r="N145" s="95"/>
      <c r="O145" s="95"/>
      <c r="P145" s="95"/>
      <c r="Q145" s="95"/>
      <c r="R145" s="95"/>
      <c r="S145" s="95"/>
      <c r="T145" s="1"/>
    </row>
    <row r="146" spans="1:20" collapsed="1" x14ac:dyDescent="0.25">
      <c r="A146" s="340"/>
      <c r="B146" s="392"/>
      <c r="C146" s="9" t="s">
        <v>134</v>
      </c>
      <c r="D146" s="30">
        <v>0</v>
      </c>
      <c r="E146" s="98">
        <v>0</v>
      </c>
      <c r="F146" s="98">
        <v>0</v>
      </c>
      <c r="G146" s="98">
        <v>0</v>
      </c>
      <c r="H146" s="98">
        <v>0</v>
      </c>
      <c r="I146" s="98">
        <v>0</v>
      </c>
      <c r="J146" s="98">
        <v>0</v>
      </c>
      <c r="K146" s="98">
        <v>0</v>
      </c>
      <c r="L146" s="1"/>
      <c r="M146" s="96"/>
      <c r="N146" s="96"/>
      <c r="O146" s="96"/>
      <c r="P146" s="96"/>
      <c r="Q146" s="96"/>
      <c r="R146" s="96"/>
      <c r="S146" s="96"/>
    </row>
    <row r="147" spans="1:20" x14ac:dyDescent="0.25">
      <c r="S147" s="95"/>
    </row>
    <row r="148" spans="1:20" x14ac:dyDescent="0.25">
      <c r="S148" s="95"/>
    </row>
  </sheetData>
  <mergeCells count="3">
    <mergeCell ref="B129:B138"/>
    <mergeCell ref="B140:B146"/>
    <mergeCell ref="B121:B128"/>
  </mergeCells>
  <phoneticPr fontId="7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Dashboard">
                <anchor moveWithCells="1" sizeWithCells="1">
                  <from>
                    <xdr:col>3</xdr:col>
                    <xdr:colOff>85725</xdr:colOff>
                    <xdr:row>0</xdr:row>
                    <xdr:rowOff>66675</xdr:rowOff>
                  </from>
                  <to>
                    <xdr:col>4</xdr:col>
                    <xdr:colOff>561975</xdr:colOff>
                    <xdr:row>0</xdr:row>
                    <xdr:rowOff>447675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Button 2">
              <controlPr defaultSize="0" print="0" autoFill="0" autoPict="0" macro="[0]!Input_Data">
                <anchor moveWithCells="1" sizeWithCells="1">
                  <from>
                    <xdr:col>5</xdr:col>
                    <xdr:colOff>266700</xdr:colOff>
                    <xdr:row>0</xdr:row>
                    <xdr:rowOff>66675</xdr:rowOff>
                  </from>
                  <to>
                    <xdr:col>7</xdr:col>
                    <xdr:colOff>152400</xdr:colOff>
                    <xdr:row>0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6" name="Button 3">
              <controlPr defaultSize="0" print="0" autoFill="0" autoPict="0" macro="[0]!Cost_Elements">
                <anchor moveWithCells="1" sizeWithCells="1">
                  <from>
                    <xdr:col>7</xdr:col>
                    <xdr:colOff>600075</xdr:colOff>
                    <xdr:row>0</xdr:row>
                    <xdr:rowOff>66675</xdr:rowOff>
                  </from>
                  <to>
                    <xdr:col>9</xdr:col>
                    <xdr:colOff>485775</xdr:colOff>
                    <xdr:row>0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7" name="Button 4">
              <controlPr defaultSize="0" print="0" autoFill="0" autoPict="0" macro="[0]!Upgrades">
                <anchor moveWithCells="1" sizeWithCells="1">
                  <from>
                    <xdr:col>10</xdr:col>
                    <xdr:colOff>200025</xdr:colOff>
                    <xdr:row>0</xdr:row>
                    <xdr:rowOff>66675</xdr:rowOff>
                  </from>
                  <to>
                    <xdr:col>12</xdr:col>
                    <xdr:colOff>333375</xdr:colOff>
                    <xdr:row>0</xdr:row>
                    <xdr:rowOff>428625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Product Pricing</vt:lpstr>
      <vt:lpstr>Input Data</vt:lpstr>
      <vt:lpstr>Upgrades</vt:lpstr>
      <vt:lpstr>Dashboard</vt:lpstr>
      <vt:lpstr>Cost Elements</vt:lpstr>
      <vt:lpstr>Calculations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Rudra Singh</dc:creator>
  <cp:lastModifiedBy>oscar ramirez</cp:lastModifiedBy>
  <dcterms:created xsi:type="dcterms:W3CDTF">2015-06-05T18:17:20Z</dcterms:created>
  <dcterms:modified xsi:type="dcterms:W3CDTF">2020-05-31T05:28:54Z</dcterms:modified>
</cp:coreProperties>
</file>